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ocuments\Teaching\CS457\2026-01-spring-AI-first\labs\01-Intro\1.2 Excel\data\"/>
    </mc:Choice>
  </mc:AlternateContent>
  <xr:revisionPtr revIDLastSave="0" documentId="13_ncr:1_{66E8BEA7-2629-4244-B26C-3BF5D16CCF5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dicators_2022" sheetId="2" r:id="rId1"/>
    <sheet name="regions" sheetId="4" r:id="rId2"/>
    <sheet name="matches" sheetId="3" r:id="rId3"/>
    <sheet name="Sheet1" sheetId="5" r:id="rId4"/>
  </sheets>
  <definedNames>
    <definedName name="ExternalData_1" localSheetId="0" hidden="1">Indicators_2022!$A$1:$BB$218</definedName>
    <definedName name="ExternalData_1" localSheetId="2" hidden="1">matches!$A$1:$C$218</definedName>
    <definedName name="ExternalData_2" localSheetId="1" hidden="1">'regions'!$A$1:$K$250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8" i="5" l="1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ECD452-A9BF-4B61-AD4D-686AA85D7C0E}" keepAlive="1" name="Query - Indicators_2022" description="Connection to the 'Indicators_2022' query in the workbook." type="5" refreshedVersion="8" background="1" saveData="1">
    <dbPr connection="Provider=Microsoft.Mashup.OleDb.1;Data Source=$Workbook$;Location=Indicators_2022;Extended Properties=&quot;&quot;" command="SELECT * FROM [Indicators_2022]"/>
  </connection>
  <connection id="2" xr16:uid="{0BD571AC-3BC2-4F07-B098-B0090659D052}" keepAlive="1" name="Query - matches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  <connection id="3" xr16:uid="{09885572-7CDA-4C86-B3FF-D8699A454007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<sst xmlns="http://schemas.openxmlformats.org/spreadsheetml/2006/main" count="3339" uniqueCount="1134">
  <si>
    <t>Column1</t>
  </si>
  <si>
    <t>Time</t>
  </si>
  <si>
    <t>Time Code</t>
  </si>
  <si>
    <t>Country Name</t>
  </si>
  <si>
    <t>Country Code</t>
  </si>
  <si>
    <t>Population, total [SP.POP.TOTL]</t>
  </si>
  <si>
    <t>Population growth (annual %) [SP.POP.GROW]</t>
  </si>
  <si>
    <t>Surface area (sq. km) [AG.SRF.TOTL.K2]</t>
  </si>
  <si>
    <t>Poverty headcount ratio at national poverty lines (% of population) [SI.POV.NAHC]</t>
  </si>
  <si>
    <t>GNI, Atlas method (current US$) [NY.GNP.ATLS.CD]</t>
  </si>
  <si>
    <t>GNI per capita, Atlas method (current US$) [NY.GNP.PCAP.CD]</t>
  </si>
  <si>
    <t>GNI, PPP (current international $) [NY.GNP.MKTP.PP.CD]</t>
  </si>
  <si>
    <t>GNI per capita, PPP (current international $) [NY.GNP.PCAP.PP.CD]</t>
  </si>
  <si>
    <t>Income share held by lowest 20% [SI.DST.FRST.20]</t>
  </si>
  <si>
    <t>Life expectancy at birth, total (years) [SP.DYN.LE00.IN]</t>
  </si>
  <si>
    <t>Fertility rate, total (births per woman) [SP.DYN.TFRT.IN]</t>
  </si>
  <si>
    <t>Adolescent fertility rate (births per 1,000 women ages 15-19) [SP.ADO.TFRT]</t>
  </si>
  <si>
    <t>Contraceptive prevalence, any method (% of married women ages 15-49) [SP.DYN.CONU.ZS]</t>
  </si>
  <si>
    <t>Births attended by skilled health staff (% of total) [SH.STA.BRTC.ZS]</t>
  </si>
  <si>
    <t>Mortality rate, under-5 (per 1,000 live births) [SH.DYN.MORT]</t>
  </si>
  <si>
    <t>Prevalence of underweight, weight for age (% of children under 5) [SH.STA.MALN.ZS]</t>
  </si>
  <si>
    <t>Immunization, measles (% of children ages 12-23 months) [SH.IMM.MEAS]</t>
  </si>
  <si>
    <t>Primary completion rate, total (% of relevant age group) [SE.PRM.CMPT.ZS]</t>
  </si>
  <si>
    <t>School enrollment, secondary (% gross) [SE.SEC.ENRR]</t>
  </si>
  <si>
    <t>School enrollment, primary and secondary (gross), gender parity index (GPI) [SE.ENR.PRSC.FM.ZS]</t>
  </si>
  <si>
    <t>Prevalence of HIV, total (% of population ages 15-49) [SH.DYN.AIDS.ZS]</t>
  </si>
  <si>
    <t>Forest area (sq. km) [AG.LND.FRST.K2]</t>
  </si>
  <si>
    <t>Water productivity, total (constant 2015 US$ GDP per cubic meter of total freshwater withdrawal) [ER.GDP.FWTL.M3.KD]</t>
  </si>
  <si>
    <t>Energy use (kg of oil equivalent per capita) [EG.USE.PCAP.KG.OE]</t>
  </si>
  <si>
    <t>Electric power consumption (kWh per capita) [EG.USE.ELEC.KH.PC]</t>
  </si>
  <si>
    <t>GDP (current US$) [NY.GDP.MKTP.CD]</t>
  </si>
  <si>
    <t>GDP growth (annual %) [NY.GDP.MKTP.KD.ZG]</t>
  </si>
  <si>
    <t>Inflation, GDP deflator (annual %) [NY.GDP.DEFL.KD.ZG]</t>
  </si>
  <si>
    <t>Agriculture, forestry, and fishing, value added (% of GDP) [NV.AGR.TOTL.ZS]</t>
  </si>
  <si>
    <t>Industry (including construction), value added (% of GDP) [NV.IND.TOTL.ZS]</t>
  </si>
  <si>
    <t>Exports of goods and services (% of GDP) [NE.EXP.GNFS.ZS]</t>
  </si>
  <si>
    <t>Imports of goods and services (% of GDP) [NE.IMP.GNFS.ZS]</t>
  </si>
  <si>
    <t>Gross capital formation (% of GDP) [NE.GDI.TOTL.ZS]</t>
  </si>
  <si>
    <t>Revenue, excluding grants (% of GDP) [GC.REV.XGRT.GD.ZS]</t>
  </si>
  <si>
    <t>Market capitalization of listed domestic companies (% of GDP) [CM.MKT.LCAP.GD.ZS]</t>
  </si>
  <si>
    <t>Military expenditure (% of GDP) [MS.MIL.XPND.GD.ZS]</t>
  </si>
  <si>
    <t>Mobile cellular subscriptions (per 100 people) [IT.CEL.SETS.P2]</t>
  </si>
  <si>
    <t>High-technology exports (% of manufactured exports) [TX.VAL.TECH.MF.ZS]</t>
  </si>
  <si>
    <t>Merchandise trade (% of GDP) [TG.VAL.TOTL.GD.ZS]</t>
  </si>
  <si>
    <t>Net barter terms of trade index (2015 = 100) [TT.PRI.MRCH.XD.WD]</t>
  </si>
  <si>
    <t>External debt stocks, total (DOD, current US$) [DT.DOD.DECT.CD]</t>
  </si>
  <si>
    <t>Total debt service (% of GNI) [DT.TDS.DECT.GN.ZS]</t>
  </si>
  <si>
    <t>Net migration [SM.POP.NETM]</t>
  </si>
  <si>
    <t>Personal remittances, paid (current US$) [BM.TRF.PWKR.CD.DT]</t>
  </si>
  <si>
    <t>Foreign direct investment, net inflows (BoP, current US$) [BX.KLT.DINV.CD.WD]</t>
  </si>
  <si>
    <t>Net ODA received per capita (current US$) [DT.ODA.ODAT.PC.ZS]</t>
  </si>
  <si>
    <t>GDP per capita (current US$) [NY.GDP.PCAP.CD]</t>
  </si>
  <si>
    <t>Foreign direct investment, net (BoP, current US$) [BN.KLT.DINV.CD]</t>
  </si>
  <si>
    <t>Inflation, consumer prices (annual %) [FP.CPI.TOTL.ZG]</t>
  </si>
  <si>
    <t>YR2022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</si>
  <si>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</si>
  <si>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</si>
  <si>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</si>
  <si>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</si>
  <si>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</si>
  <si>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</si>
  <si>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</si>
  <si>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</si>
  <si>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</si>
  <si>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</si>
  <si>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</si>
  <si>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</si>
  <si>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</si>
  <si>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</si>
  <si>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</si>
  <si>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</si>
  <si>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</si>
  <si>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</si>
  <si>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</si>
  <si>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</si>
  <si>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</si>
  <si>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</si>
  <si>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</si>
  <si>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</si>
  <si>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</si>
  <si>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</si>
  <si>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</si>
  <si>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</si>
  <si>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</si>
  <si>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</si>
  <si>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</si>
  <si>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</si>
  <si>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</si>
  <si>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</si>
  <si>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</si>
  <si>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</si>
  <si>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</si>
  <si>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</si>
  <si>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</si>
  <si>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</si>
  <si>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</si>
  <si>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</si>
  <si>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</si>
  <si>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</si>
  <si>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</si>
  <si>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</si>
  <si>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</si>
  <si>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</si>
  <si>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</si>
  <si>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</si>
  <si>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</si>
  <si>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</si>
  <si>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</si>
  <si>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</si>
  <si>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</si>
  <si>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</si>
  <si>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</si>
  <si>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</si>
  <si>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</si>
  <si>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</si>
  <si>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</si>
  <si>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</si>
  <si>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</si>
  <si>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</si>
  <si>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</si>
  <si>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</si>
  <si>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</si>
  <si>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</si>
  <si>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</si>
  <si>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</si>
  <si>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</si>
  <si>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</si>
  <si>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</si>
  <si>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</si>
  <si>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</si>
  <si>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</si>
  <si>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</si>
  <si>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</si>
  <si>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</si>
  <si>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</si>
  <si>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</si>
  <si>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</si>
  <si>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</si>
  <si>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</si>
  <si>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</si>
  <si>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</si>
  <si>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</si>
  <si>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</si>
  <si>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</si>
  <si>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</si>
  <si>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</si>
  <si>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</si>
  <si>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</si>
  <si>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</si>
  <si>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</si>
  <si>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</si>
  <si>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</si>
  <si>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</si>
  <si>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</si>
  <si>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</si>
  <si>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</si>
  <si>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</si>
  <si>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</si>
  <si>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</si>
  <si>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</si>
  <si>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</si>
  <si>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</si>
  <si>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</si>
  <si>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</si>
  <si>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</si>
  <si>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</si>
  <si>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</si>
  <si>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</si>
  <si>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</si>
  <si>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</si>
  <si>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</si>
  <si>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</si>
  <si>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</si>
  <si>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</si>
  <si>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</si>
  <si>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</si>
  <si>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</si>
  <si>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</si>
  <si>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</si>
  <si>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</si>
  <si>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</si>
  <si>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</si>
  <si>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</si>
  <si>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</si>
  <si>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</si>
  <si>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</si>
  <si>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</si>
  <si>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</si>
  <si>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</si>
  <si>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</si>
  <si>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</si>
  <si>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</si>
  <si>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</si>
  <si>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</si>
  <si>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</si>
  <si>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</si>
  <si>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</si>
  <si>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</si>
  <si>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</si>
  <si>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</si>
  <si>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</si>
  <si>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</si>
  <si>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</si>
  <si>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</si>
  <si>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</si>
  <si>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</si>
  <si>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</si>
  <si>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</si>
  <si>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</si>
  <si>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</si>
  <si>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</si>
  <si>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</si>
  <si>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</si>
  <si>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</si>
  <si>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</si>
  <si>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</si>
  <si>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</si>
  <si>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</si>
  <si>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</si>
  <si>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</si>
  <si>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</si>
  <si>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</si>
  <si>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</si>
  <si>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</si>
  <si>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</si>
  <si>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</si>
  <si>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</si>
  <si>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</si>
  <si>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</si>
  <si>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</si>
  <si>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</si>
  <si>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</si>
  <si>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</si>
  <si>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</si>
  <si>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</si>
  <si>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</si>
  <si>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</si>
  <si>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</si>
  <si>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</si>
  <si>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</si>
  <si>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</si>
  <si>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</si>
  <si>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</si>
  <si>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</si>
  <si>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</si>
  <si>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</si>
  <si>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</si>
  <si>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</si>
  <si>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</si>
  <si>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</si>
  <si>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</si>
  <si>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</si>
  <si>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</si>
  <si>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</si>
  <si>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</si>
  <si>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</si>
  <si>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</si>
  <si>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</si>
  <si>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</si>
  <si>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</si>
  <si>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</si>
  <si>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</si>
  <si>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</si>
  <si>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</si>
  <si>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</si>
  <si>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</si>
  <si>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</si>
  <si>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</si>
  <si>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</si>
  <si>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</si>
  <si>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</si>
  <si>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</si>
  <si>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</si>
  <si>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</si>
  <si>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</si>
  <si>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</si>
  <si>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</si>
  <si>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</si>
  <si>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</si>
  <si>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</si>
  <si>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</si>
  <si>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</si>
  <si>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</si>
  <si>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</si>
  <si>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</si>
  <si>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</si>
  <si>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</si>
  <si>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</si>
  <si>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</si>
  <si>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</si>
  <si>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</si>
  <si>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</si>
  <si>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</si>
  <si>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</si>
  <si>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</si>
  <si>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</si>
  <si>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</si>
  <si>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</si>
  <si>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</si>
  <si>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</si>
  <si>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</si>
  <si>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</si>
  <si>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</si>
  <si>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</si>
  <si>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</si>
  <si>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</si>
  <si>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</si>
  <si>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</si>
  <si>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</si>
  <si>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</si>
  <si>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</si>
  <si>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</si>
  <si>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</si>
  <si>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</si>
  <si>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</si>
  <si>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</si>
  <si>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</si>
  <si>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</si>
  <si>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</si>
  <si>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</si>
  <si>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</si>
  <si>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</si>
  <si>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</si>
  <si>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</si>
  <si>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</si>
  <si>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</si>
  <si>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</si>
  <si>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</si>
  <si>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</si>
  <si>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</si>
  <si>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</si>
  <si>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</si>
  <si>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</si>
  <si>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</si>
  <si>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</si>
  <si>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</si>
  <si>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</si>
  <si>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</si>
  <si>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</si>
  <si>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</si>
  <si>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</si>
  <si>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</si>
  <si>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</si>
  <si>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</si>
  <si>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</si>
  <si>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</si>
  <si>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</si>
  <si>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</si>
  <si>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</si>
  <si>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</si>
  <si>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</si>
  <si>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</si>
  <si>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</si>
  <si>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</si>
  <si>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</si>
  <si>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</si>
  <si>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</si>
  <si>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</si>
  <si>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</si>
  <si>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</si>
  <si>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</si>
  <si>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</si>
  <si>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</si>
  <si>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</si>
  <si>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</si>
  <si>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</si>
  <si>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</si>
  <si>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</si>
  <si>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</si>
  <si>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</si>
  <si>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</si>
  <si>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</si>
  <si>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</si>
  <si>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</si>
  <si>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</si>
  <si>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</si>
  <si>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</si>
  <si>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</si>
  <si>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</si>
  <si>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</si>
  <si>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</si>
  <si>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</si>
  <si>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</si>
  <si>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</si>
  <si>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</si>
  <si>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</si>
  <si>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</si>
  <si>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</si>
  <si>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</si>
  <si>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</si>
  <si>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</si>
  <si>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</si>
  <si>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</si>
  <si>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</si>
  <si>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</si>
  <si>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</si>
  <si>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</si>
  <si>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</si>
  <si>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</si>
  <si>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</si>
  <si>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</si>
  <si>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</si>
  <si>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</si>
  <si>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</si>
  <si>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</si>
  <si>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</si>
  <si>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</si>
  <si>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</si>
  <si>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</si>
  <si>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</si>
  <si>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</si>
  <si>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</si>
  <si>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</si>
  <si>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</si>
  <si>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</si>
  <si>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</si>
  <si>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</si>
  <si>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</si>
  <si>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</si>
  <si>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</si>
  <si>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</si>
  <si>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</si>
  <si>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</si>
  <si>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</si>
  <si>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</si>
  <si>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</si>
  <si>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</si>
  <si>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</si>
  <si>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</si>
  <si>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</si>
  <si>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</si>
  <si>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</si>
  <si>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</si>
  <si>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</si>
  <si>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</si>
  <si>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</si>
  <si>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</si>
  <si>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</si>
  <si>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</si>
  <si>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</si>
  <si>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</si>
  <si>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</si>
  <si>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</si>
  <si>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</si>
  <si>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</si>
  <si>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</si>
  <si>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</si>
  <si>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</si>
  <si>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</si>
  <si>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</si>
  <si>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</si>
  <si>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</si>
  <si>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</si>
  <si>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</si>
  <si>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</si>
  <si>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</si>
  <si>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</si>
  <si>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</si>
  <si>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</si>
  <si>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</si>
  <si>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</si>
  <si>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</si>
  <si>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</si>
  <si>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</si>
  <si>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</si>
  <si>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</si>
  <si>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</si>
  <si>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</si>
  <si>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</si>
  <si>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</si>
  <si>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</si>
  <si>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</si>
  <si>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</si>
  <si>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</si>
  <si>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</si>
  <si>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</si>
  <si>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</si>
  <si>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</si>
  <si>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</si>
  <si>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</si>
  <si>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</si>
  <si>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</si>
  <si>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</si>
  <si>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</si>
  <si>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</si>
  <si>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</si>
  <si>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</si>
  <si>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</si>
  <si>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</si>
  <si>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original</t>
  </si>
  <si>
    <t>matched</t>
  </si>
  <si>
    <t>Bahamas</t>
  </si>
  <si>
    <t>Bolivia, Plurinational State of</t>
  </si>
  <si>
    <t>Virgin Islands (British)</t>
  </si>
  <si>
    <t>Cocos (Keeling) Islands</t>
  </si>
  <si>
    <t>Congo</t>
  </si>
  <si>
    <t>Côte d'Ivoire</t>
  </si>
  <si>
    <t>Curaçao</t>
  </si>
  <si>
    <t>Egypt</t>
  </si>
  <si>
    <t>Gambia</t>
  </si>
  <si>
    <t>Iran, Islamic Republic of</t>
  </si>
  <si>
    <t>Korea, Democratic People's Republic of</t>
  </si>
  <si>
    <t>Korea, Republic of</t>
  </si>
  <si>
    <t>Lao People's Democratic Republic</t>
  </si>
  <si>
    <t>Micronesia, Federated States of</t>
  </si>
  <si>
    <t>Moldova, Republic of</t>
  </si>
  <si>
    <t>Netherlands, Kingdom of the</t>
  </si>
  <si>
    <t>Puerto Rico</t>
  </si>
  <si>
    <t>Saint Kitts and Nevis</t>
  </si>
  <si>
    <t>Saint Lucia</t>
  </si>
  <si>
    <t>Saint Martin (French part)</t>
  </si>
  <si>
    <t>Saint Vincent and the Grenadines</t>
  </si>
  <si>
    <t>Tanzania, United Republic of</t>
  </si>
  <si>
    <t>Türkiye</t>
  </si>
  <si>
    <t>United Kingdom of Great Britain and Northern Ireland</t>
  </si>
  <si>
    <t>United States of America</t>
  </si>
  <si>
    <t>Venezuela, Bolivarian Republic of</t>
  </si>
  <si>
    <t>Bonaire, Sint Eustatius and Saba</t>
  </si>
  <si>
    <t>Yemen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</si>
  <si>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</si>
  <si>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</si>
  <si>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</si>
  <si>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</si>
  <si>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</si>
  <si>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</si>
  <si>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</si>
  <si>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</si>
  <si>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</si>
  <si>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</si>
  <si>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</si>
  <si>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</t>
  </si>
  <si>
    <t>ISO 3166-2:AF</t>
  </si>
  <si>
    <t>Asia</t>
  </si>
  <si>
    <t>Southern Asia</t>
  </si>
  <si>
    <t/>
  </si>
  <si>
    <t>Åland Islands</t>
  </si>
  <si>
    <t>AX</t>
  </si>
  <si>
    <t>ALA</t>
  </si>
  <si>
    <t>ISO 3166-2:AX</t>
  </si>
  <si>
    <t>Europe</t>
  </si>
  <si>
    <t>Northern Europe</t>
  </si>
  <si>
    <t>AL</t>
  </si>
  <si>
    <t>ISO 3166-2:AL</t>
  </si>
  <si>
    <t>Southern Europe</t>
  </si>
  <si>
    <t>DZ</t>
  </si>
  <si>
    <t>ISO 3166-2:DZ</t>
  </si>
  <si>
    <t>Africa</t>
  </si>
  <si>
    <t>Northern Africa</t>
  </si>
  <si>
    <t>AS</t>
  </si>
  <si>
    <t>ISO 3166-2:AS</t>
  </si>
  <si>
    <t>Oceania</t>
  </si>
  <si>
    <t>Polynesia</t>
  </si>
  <si>
    <t>AD</t>
  </si>
  <si>
    <t>ISO 3166-2:AD</t>
  </si>
  <si>
    <t>AO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</si>
  <si>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</si>
  <si>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</si>
  <si>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</si>
  <si>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</si>
  <si>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</si>
  <si>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</si>
  <si>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</si>
  <si>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</si>
  <si>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</si>
  <si>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</si>
  <si>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</si>
  <si>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</si>
  <si>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</si>
  <si>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</si>
  <si>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AG</t>
  </si>
  <si>
    <t>ISO 3166-2:AG</t>
  </si>
  <si>
    <t>AR</t>
  </si>
  <si>
    <t>ISO 3166-2:AR</t>
  </si>
  <si>
    <t>South America</t>
  </si>
  <si>
    <t>AM</t>
  </si>
  <si>
    <t>ISO 3166-2:AM</t>
  </si>
  <si>
    <t>Western Asia</t>
  </si>
  <si>
    <t>AW</t>
  </si>
  <si>
    <t>ISO 3166-2:AW</t>
  </si>
  <si>
    <t>AU</t>
  </si>
  <si>
    <t>ISO 3166-2:AU</t>
  </si>
  <si>
    <t>Australia and New Zealand</t>
  </si>
  <si>
    <t>AT</t>
  </si>
  <si>
    <t>ISO 3166-2:AT</t>
  </si>
  <si>
    <t>Western Europe</t>
  </si>
  <si>
    <t>AZ</t>
  </si>
  <si>
    <t>ISO 3166-2:AZ</t>
  </si>
  <si>
    <t>BS</t>
  </si>
  <si>
    <t>ISO 3166-2:BS</t>
  </si>
  <si>
    <t>BH</t>
  </si>
  <si>
    <t>ISO 3166-2:BH</t>
  </si>
  <si>
    <t>BD</t>
  </si>
  <si>
    <t>ISO 3166-2:BD</t>
  </si>
  <si>
    <t>BB</t>
  </si>
  <si>
    <t>ISO 3166-2:BB</t>
  </si>
  <si>
    <t>BY</t>
  </si>
  <si>
    <t>ISO 3166-2:BY</t>
  </si>
  <si>
    <t>Eastern Europe</t>
  </si>
  <si>
    <t>BE</t>
  </si>
  <si>
    <t>ISO 3166-2:BE</t>
  </si>
  <si>
    <t>BZ</t>
  </si>
  <si>
    <t>ISO 3166-2:BZ</t>
  </si>
  <si>
    <t>Central America</t>
  </si>
  <si>
    <t>BJ</t>
  </si>
  <si>
    <t>ISO 3166-2:BJ</t>
  </si>
  <si>
    <t>Western Africa</t>
  </si>
  <si>
    <t>BM</t>
  </si>
  <si>
    <t>ISO 3166-2:BM</t>
  </si>
  <si>
    <t>Northern America</t>
  </si>
  <si>
    <t>BT</t>
  </si>
  <si>
    <t>ISO 3166-2:BT</t>
  </si>
  <si>
    <t>BO</t>
  </si>
  <si>
    <t>ISO 3166-2:BO</t>
  </si>
  <si>
    <t>BQ</t>
  </si>
  <si>
    <t>BES</t>
  </si>
  <si>
    <t>ISO 3166-2:BQ</t>
  </si>
  <si>
    <t>BA</t>
  </si>
  <si>
    <t>ISO 3166-2:BA</t>
  </si>
  <si>
    <t>BW</t>
  </si>
  <si>
    <t>ISO 3166-2:BW</t>
  </si>
  <si>
    <t>Southern Africa</t>
  </si>
  <si>
    <t>Bouvet Island</t>
  </si>
  <si>
    <t>BV</t>
  </si>
  <si>
    <t>BVT</t>
  </si>
  <si>
    <t>ISO 3166-2:BV</t>
  </si>
  <si>
    <t>BR</t>
  </si>
  <si>
    <t>ISO 3166-2:BR</t>
  </si>
  <si>
    <t>British Indian Ocean Territory</t>
  </si>
  <si>
    <t>IO</t>
  </si>
  <si>
    <t>IOT</t>
  </si>
  <si>
    <t>ISO 3166-2:IO</t>
  </si>
  <si>
    <t>Eastern Africa</t>
  </si>
  <si>
    <t>BN</t>
  </si>
  <si>
    <t>ISO 3166-2:BN</t>
  </si>
  <si>
    <t>South-eastern Asia</t>
  </si>
  <si>
    <t>BG</t>
  </si>
  <si>
    <t>ISO 3166-2:BG</t>
  </si>
  <si>
    <t>BF</t>
  </si>
  <si>
    <t>ISO 3166-2:BF</t>
  </si>
  <si>
    <t>BI</t>
  </si>
  <si>
    <t>ISO 3166-2:BI</t>
  </si>
  <si>
    <t>CV</t>
  </si>
  <si>
    <t>ISO 3166-2:CV</t>
  </si>
  <si>
    <t>KH</t>
  </si>
  <si>
    <t>ISO 3166-2:KH</t>
  </si>
  <si>
    <t>CM</t>
  </si>
  <si>
    <t>ISO 3166-2:CM</t>
  </si>
  <si>
    <t>CA</t>
  </si>
  <si>
    <t>ISO 3166-2:CA</t>
  </si>
  <si>
    <t>KY</t>
  </si>
  <si>
    <t>ISO 3166-2:KY</t>
  </si>
  <si>
    <t>CF</t>
  </si>
  <si>
    <t>ISO 3166-2:CF</t>
  </si>
  <si>
    <t>TD</t>
  </si>
  <si>
    <t>ISO 3166-2:TD</t>
  </si>
  <si>
    <t>CL</t>
  </si>
  <si>
    <t>ISO 3166-2:CL</t>
  </si>
  <si>
    <t>CN</t>
  </si>
  <si>
    <t>ISO 3166-2:CN</t>
  </si>
  <si>
    <t>Eastern Asia</t>
  </si>
  <si>
    <t>Christmas Island</t>
  </si>
  <si>
    <t>CX</t>
  </si>
  <si>
    <t>CXR</t>
  </si>
  <si>
    <t>ISO 3166-2:CX</t>
  </si>
  <si>
    <t>CC</t>
  </si>
  <si>
    <t>CCK</t>
  </si>
  <si>
    <t>ISO 3166-2:CC</t>
  </si>
  <si>
    <t>CO</t>
  </si>
  <si>
    <t>ISO 3166-2:CO</t>
  </si>
  <si>
    <t>KM</t>
  </si>
  <si>
    <t>ISO 3166-2:KM</t>
  </si>
  <si>
    <t>CG</t>
  </si>
  <si>
    <t>ISO 3166-2:CG</t>
  </si>
  <si>
    <t>Congo, Democratic Republic of the</t>
  </si>
  <si>
    <t>CD</t>
  </si>
  <si>
    <t>ISO 3166-2:CD</t>
  </si>
  <si>
    <t>Cook Islands</t>
  </si>
  <si>
    <t>CK</t>
  </si>
  <si>
    <t>COK</t>
  </si>
  <si>
    <t>ISO 3166-2:CK</t>
  </si>
  <si>
    <t>CR</t>
  </si>
  <si>
    <t>ISO 3166-2:CR</t>
  </si>
  <si>
    <t>CI</t>
  </si>
  <si>
    <t>ISO 3166-2:CI</t>
  </si>
  <si>
    <t>HR</t>
  </si>
  <si>
    <t>ISO 3166-2:HR</t>
  </si>
  <si>
    <t>CU</t>
  </si>
  <si>
    <t>ISO 3166-2:CU</t>
  </si>
  <si>
    <t>CW</t>
  </si>
  <si>
    <t>ISO 3166-2:CW</t>
  </si>
  <si>
    <t>CY</t>
  </si>
  <si>
    <t>ISO 3166-2:CY</t>
  </si>
  <si>
    <t>CZ</t>
  </si>
  <si>
    <t>ISO 3166-2:CZ</t>
  </si>
  <si>
    <t>DK</t>
  </si>
  <si>
    <t>ISO 3166-2:DK</t>
  </si>
  <si>
    <t>DJ</t>
  </si>
  <si>
    <t>ISO 3166-2:DJ</t>
  </si>
  <si>
    <t>DM</t>
  </si>
  <si>
    <t>ISO 3166-2:DM</t>
  </si>
  <si>
    <t>DO</t>
  </si>
  <si>
    <t>ISO 3166-2:DO</t>
  </si>
  <si>
    <t>EC</t>
  </si>
  <si>
    <t>ISO 3166-2:EC</t>
  </si>
  <si>
    <t>EG</t>
  </si>
  <si>
    <t>ISO 3166-2:EG</t>
  </si>
  <si>
    <t>SV</t>
  </si>
  <si>
    <t>ISO 3166-2:SV</t>
  </si>
  <si>
    <t>GQ</t>
  </si>
  <si>
    <t>ISO 3166-2:GQ</t>
  </si>
  <si>
    <t>ER</t>
  </si>
  <si>
    <t>ISO 3166-2:ER</t>
  </si>
  <si>
    <t>EE</t>
  </si>
  <si>
    <t>ISO 3166-2:EE</t>
  </si>
  <si>
    <t>SZ</t>
  </si>
  <si>
    <t>ISO 3166-2:SZ</t>
  </si>
  <si>
    <t>ET</t>
  </si>
  <si>
    <t>ISO 3166-2:ET</t>
  </si>
  <si>
    <t>Falkland Islands (Malvinas)</t>
  </si>
  <si>
    <t>FK</t>
  </si>
  <si>
    <t>FLK</t>
  </si>
  <si>
    <t>ISO 3166-2:FK</t>
  </si>
  <si>
    <t>FO</t>
  </si>
  <si>
    <t>ISO 3166-2:FO</t>
  </si>
  <si>
    <t>FJ</t>
  </si>
  <si>
    <t>ISO 3166-2:FJ</t>
  </si>
  <si>
    <t>Melanesia</t>
  </si>
  <si>
    <t>FI</t>
  </si>
  <si>
    <t>ISO 3166-2:FI</t>
  </si>
  <si>
    <t>FR</t>
  </si>
  <si>
    <t>ISO 3166-2:FR</t>
  </si>
  <si>
    <t>French Guiana</t>
  </si>
  <si>
    <t>GF</t>
  </si>
  <si>
    <t>GUF</t>
  </si>
  <si>
    <t>ISO 3166-2:GF</t>
  </si>
  <si>
    <t>PF</t>
  </si>
  <si>
    <t>ISO 3166-2:PF</t>
  </si>
  <si>
    <t>French Southern Territories</t>
  </si>
  <si>
    <t>TF</t>
  </si>
  <si>
    <t>ATF</t>
  </si>
  <si>
    <t>ISO 3166-2:TF</t>
  </si>
  <si>
    <t>GA</t>
  </si>
  <si>
    <t>ISO 3166-2:GA</t>
  </si>
  <si>
    <t>GM</t>
  </si>
  <si>
    <t>ISO 3166-2:GM</t>
  </si>
  <si>
    <t>GE</t>
  </si>
  <si>
    <t>ISO 3166-2:GE</t>
  </si>
  <si>
    <t>DE</t>
  </si>
  <si>
    <t>ISO 3166-2:DE</t>
  </si>
  <si>
    <t>GH</t>
  </si>
  <si>
    <t>ISO 3166-2:GH</t>
  </si>
  <si>
    <t>GI</t>
  </si>
  <si>
    <t>ISO 3166-2:GI</t>
  </si>
  <si>
    <t>GR</t>
  </si>
  <si>
    <t>ISO 3166-2:GR</t>
  </si>
  <si>
    <t>GL</t>
  </si>
  <si>
    <t>ISO 3166-2:GL</t>
  </si>
  <si>
    <t>GD</t>
  </si>
  <si>
    <t>ISO 3166-2:GD</t>
  </si>
  <si>
    <t>Guadeloupe</t>
  </si>
  <si>
    <t>GP</t>
  </si>
  <si>
    <t>GLP</t>
  </si>
  <si>
    <t>ISO 3166-2:GP</t>
  </si>
  <si>
    <t>GU</t>
  </si>
  <si>
    <t>ISO 3166-2:GU</t>
  </si>
  <si>
    <t>Micronesia</t>
  </si>
  <si>
    <t>GT</t>
  </si>
  <si>
    <t>ISO 3166-2:GT</t>
  </si>
  <si>
    <t>Guernsey</t>
  </si>
  <si>
    <t>GG</t>
  </si>
  <si>
    <t>GGY</t>
  </si>
  <si>
    <t>ISO 3166-2:GG</t>
  </si>
  <si>
    <t>GN</t>
  </si>
  <si>
    <t>ISO 3166-2:GN</t>
  </si>
  <si>
    <t>GW</t>
  </si>
  <si>
    <t>ISO 3166-2:GW</t>
  </si>
  <si>
    <t>GY</t>
  </si>
  <si>
    <t>ISO 3166-2:GY</t>
  </si>
  <si>
    <t>HT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</si>
  <si>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</si>
  <si>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</si>
  <si>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</si>
  <si>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</si>
  <si>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</si>
  <si>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</si>
  <si>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</si>
  <si>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</si>
  <si>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</si>
  <si>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HN</t>
  </si>
  <si>
    <t>ISO 3166-2:HN</t>
  </si>
  <si>
    <t>Hong Kong</t>
  </si>
  <si>
    <t>HK</t>
  </si>
  <si>
    <t>ISO 3166-2:HK</t>
  </si>
  <si>
    <t>HU</t>
  </si>
  <si>
    <t>ISO 3166-2:HU</t>
  </si>
  <si>
    <t>IS</t>
  </si>
  <si>
    <t>ISO 3166-2:IS</t>
  </si>
  <si>
    <t>IN</t>
  </si>
  <si>
    <t>ISO 3166-2:IN</t>
  </si>
  <si>
    <t>ID</t>
  </si>
  <si>
    <t>ISO 3166-2:ID</t>
  </si>
  <si>
    <t>IR</t>
  </si>
  <si>
    <t>ISO 3166-2:IR</t>
  </si>
  <si>
    <t>IQ</t>
  </si>
  <si>
    <t>ISO 3166-2:IQ</t>
  </si>
  <si>
    <t>IE</t>
  </si>
  <si>
    <t>ISO 3166-2:IE</t>
  </si>
  <si>
    <t>IM</t>
  </si>
  <si>
    <t>ISO 3166-2:IM</t>
  </si>
  <si>
    <t>IL</t>
  </si>
  <si>
    <t>ISO 3166-2:IL</t>
  </si>
  <si>
    <t>IT</t>
  </si>
  <si>
    <t>ISO 3166-2:IT</t>
  </si>
  <si>
    <t>JM</t>
  </si>
  <si>
    <t>ISO 3166-2:JM</t>
  </si>
  <si>
    <t>JP</t>
  </si>
  <si>
    <t>ISO 3166-2:JP</t>
  </si>
  <si>
    <t>Jersey</t>
  </si>
  <si>
    <t>JE</t>
  </si>
  <si>
    <t>JEY</t>
  </si>
  <si>
    <t>ISO 3166-2:JE</t>
  </si>
  <si>
    <t>JO</t>
  </si>
  <si>
    <t>ISO 3166-2:JO</t>
  </si>
  <si>
    <t>KZ</t>
  </si>
  <si>
    <t>ISO 3166-2:KZ</t>
  </si>
  <si>
    <t>Central Asia</t>
  </si>
  <si>
    <t>KE</t>
  </si>
  <si>
    <t>ISO 3166-2:KE</t>
  </si>
  <si>
    <t>KI</t>
  </si>
  <si>
    <t>ISO 3166-2:KI</t>
  </si>
  <si>
    <t>KP</t>
  </si>
  <si>
    <t>ISO 3166-2:KP</t>
  </si>
  <si>
    <t>KR</t>
  </si>
  <si>
    <t>ISO 3166-2:KR</t>
  </si>
  <si>
    <t>KW</t>
  </si>
  <si>
    <t>ISO 3166-2:KW</t>
  </si>
  <si>
    <t>Kyrgyzstan</t>
  </si>
  <si>
    <t>KG</t>
  </si>
  <si>
    <t>ISO 3166-2:KG</t>
  </si>
  <si>
    <t>LA</t>
  </si>
  <si>
    <t>ISO 3166-2:LA</t>
  </si>
  <si>
    <t>LV</t>
  </si>
  <si>
    <t>ISO 3166-2:LV</t>
  </si>
  <si>
    <t>LB</t>
  </si>
  <si>
    <t>ISO 3166-2:LB</t>
  </si>
  <si>
    <t>LS</t>
  </si>
  <si>
    <t>ISO 3166-2:LS</t>
  </si>
  <si>
    <t>LR</t>
  </si>
  <si>
    <t>ISO 3166-2:LR</t>
  </si>
  <si>
    <t>LY</t>
  </si>
  <si>
    <t>ISO 3166-2:LY</t>
  </si>
  <si>
    <t>LI</t>
  </si>
  <si>
    <t>ISO 3166-2:LI</t>
  </si>
  <si>
    <t>LT</t>
  </si>
  <si>
    <t>ISO 3166-2:LT</t>
  </si>
  <si>
    <t>LU</t>
  </si>
  <si>
    <t>ISO 3166-2:LU</t>
  </si>
  <si>
    <t>Macao</t>
  </si>
  <si>
    <t>MO</t>
  </si>
  <si>
    <t>ISO 3166-2:MO</t>
  </si>
  <si>
    <t>MG</t>
  </si>
  <si>
    <t>ISO 3166-2:MG</t>
  </si>
  <si>
    <t>MW</t>
  </si>
  <si>
    <t>ISO 3166-2:MW</t>
  </si>
  <si>
    <t>MY</t>
  </si>
  <si>
    <t>ISO 3166-2:MY</t>
  </si>
  <si>
    <t>MV</t>
  </si>
  <si>
    <t>ISO 3166-2:MV</t>
  </si>
  <si>
    <t>ML</t>
  </si>
  <si>
    <t>ISO 3166-2:ML</t>
  </si>
  <si>
    <t>MT</t>
  </si>
  <si>
    <t>ISO 3166-2:MT</t>
  </si>
  <si>
    <t>MH</t>
  </si>
  <si>
    <t>ISO 3166-2:MH</t>
  </si>
  <si>
    <t>Martinique</t>
  </si>
  <si>
    <t>MQ</t>
  </si>
  <si>
    <t>MTQ</t>
  </si>
  <si>
    <t>ISO 3166-2:MQ</t>
  </si>
  <si>
    <t>MR</t>
  </si>
  <si>
    <t>ISO 3166-2:MR</t>
  </si>
  <si>
    <t>MU</t>
  </si>
  <si>
    <t>ISO 3166-2:MU</t>
  </si>
  <si>
    <t>Mayotte</t>
  </si>
  <si>
    <t>YT</t>
  </si>
  <si>
    <t>MYT</t>
  </si>
  <si>
    <t>ISO 3166-2:YT</t>
  </si>
  <si>
    <t>MX</t>
  </si>
  <si>
    <t>ISO 3166-2:MX</t>
  </si>
  <si>
    <t>FM</t>
  </si>
  <si>
    <t>ISO 3166-2:FM</t>
  </si>
  <si>
    <t>MD</t>
  </si>
  <si>
    <t>ISO 3166-2:MD</t>
  </si>
  <si>
    <t>MC</t>
  </si>
  <si>
    <t>ISO 3166-2:MC</t>
  </si>
  <si>
    <t>MN</t>
  </si>
  <si>
    <t>ISO 3166-2:MN</t>
  </si>
  <si>
    <t>ME</t>
  </si>
  <si>
    <t>ISO 3166-2:ME</t>
  </si>
  <si>
    <t>Montserrat</t>
  </si>
  <si>
    <t>MS</t>
  </si>
  <si>
    <t>MSR</t>
  </si>
  <si>
    <t>ISO 3166-2:MS</t>
  </si>
  <si>
    <t>MA</t>
  </si>
  <si>
    <t>ISO 3166-2:MA</t>
  </si>
  <si>
    <t>MZ</t>
  </si>
  <si>
    <t>ISO 3166-2:MZ</t>
  </si>
  <si>
    <t>MM</t>
  </si>
  <si>
    <t>ISO 3166-2:MM</t>
  </si>
  <si>
    <t>NA</t>
  </si>
  <si>
    <t>ISO 3166-2:NA</t>
  </si>
  <si>
    <t>NR</t>
  </si>
  <si>
    <t>ISO 3166-2:NR</t>
  </si>
  <si>
    <t>NP</t>
  </si>
  <si>
    <t>ISO 3166-2:NP</t>
  </si>
  <si>
    <t>NL</t>
  </si>
  <si>
    <t>ISO 3166-2:NL</t>
  </si>
  <si>
    <t>NC</t>
  </si>
  <si>
    <t>ISO 3166-2:NC</t>
  </si>
  <si>
    <t>NZ</t>
  </si>
  <si>
    <t>ISO 3166-2:NZ</t>
  </si>
  <si>
    <t>NI</t>
  </si>
  <si>
    <t>ISO 3166-2:NI</t>
  </si>
  <si>
    <t>NE</t>
  </si>
  <si>
    <t>ISO 3166-2:NE</t>
  </si>
  <si>
    <t>NG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</si>
  <si>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</si>
  <si>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</si>
  <si>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</si>
  <si>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</si>
  <si>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</si>
  <si>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</si>
  <si>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</si>
  <si>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</si>
  <si>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</si>
  <si>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MK</t>
  </si>
  <si>
    <t>ISO 3166-2:MK</t>
  </si>
  <si>
    <t>MP</t>
  </si>
  <si>
    <t>ISO 3166-2:MP</t>
  </si>
  <si>
    <t>NO</t>
  </si>
  <si>
    <t>ISO 3166-2:NO</t>
  </si>
  <si>
    <t>OM</t>
  </si>
  <si>
    <t>ISO 3166-2:OM</t>
  </si>
  <si>
    <t>PK</t>
  </si>
  <si>
    <t>ISO 3166-2:PK</t>
  </si>
  <si>
    <t>PW</t>
  </si>
  <si>
    <t>ISO 3166-2:PW</t>
  </si>
  <si>
    <t>Palestine, State of</t>
  </si>
  <si>
    <t>PS</t>
  </si>
  <si>
    <t>ISO 3166-2:PS</t>
  </si>
  <si>
    <t>PA</t>
  </si>
  <si>
    <t>ISO 3166-2:PA</t>
  </si>
  <si>
    <t>PG</t>
  </si>
  <si>
    <t>ISO 3166-2:PG</t>
  </si>
  <si>
    <t>PY</t>
  </si>
  <si>
    <t>ISO 3166-2:PY</t>
  </si>
  <si>
    <t>PE</t>
  </si>
  <si>
    <t>ISO 3166-2:PE</t>
  </si>
  <si>
    <t>PH</t>
  </si>
  <si>
    <t>ISO 3166-2:PH</t>
  </si>
  <si>
    <t>Pitcairn</t>
  </si>
  <si>
    <t>PN</t>
  </si>
  <si>
    <t>PCN</t>
  </si>
  <si>
    <t>ISO 3166-2:PN</t>
  </si>
  <si>
    <t>PL</t>
  </si>
  <si>
    <t>ISO 3166-2:PL</t>
  </si>
  <si>
    <t>PT</t>
  </si>
  <si>
    <t>ISO 3166-2:PT</t>
  </si>
  <si>
    <t>PR</t>
  </si>
  <si>
    <t>ISO 3166-2:PR</t>
  </si>
  <si>
    <t>QA</t>
  </si>
  <si>
    <t>ISO 3166-2:QA</t>
  </si>
  <si>
    <t>Réunion</t>
  </si>
  <si>
    <t>RE</t>
  </si>
  <si>
    <t>REU</t>
  </si>
  <si>
    <t>ISO 3166-2:RE</t>
  </si>
  <si>
    <t>RO</t>
  </si>
  <si>
    <t>ISO 3166-2:RO</t>
  </si>
  <si>
    <t>RU</t>
  </si>
  <si>
    <t>ISO 3166-2:RU</t>
  </si>
  <si>
    <t>RW</t>
  </si>
  <si>
    <t>ISO 3166-2:RW</t>
  </si>
  <si>
    <t>Saint Barthélemy</t>
  </si>
  <si>
    <t>BL</t>
  </si>
  <si>
    <t>BLM</t>
  </si>
  <si>
    <t>ISO 3166-2:BL</t>
  </si>
  <si>
    <t>Saint Helena, Ascension and Tristan da Cunha</t>
  </si>
  <si>
    <t>SH</t>
  </si>
  <si>
    <t>SHN</t>
  </si>
  <si>
    <t>ISO 3166-2:SH</t>
  </si>
  <si>
    <t>KN</t>
  </si>
  <si>
    <t>ISO 3166-2:KN</t>
  </si>
  <si>
    <t>LC</t>
  </si>
  <si>
    <t>ISO 3166-2:LC</t>
  </si>
  <si>
    <t>MF</t>
  </si>
  <si>
    <t>ISO 3166-2:MF</t>
  </si>
  <si>
    <t>Saint Pierre and Miquelon</t>
  </si>
  <si>
    <t>PM</t>
  </si>
  <si>
    <t>SPM</t>
  </si>
  <si>
    <t>ISO 3166-2:PM</t>
  </si>
  <si>
    <t>VC</t>
  </si>
  <si>
    <t>ISO 3166-2:VC</t>
  </si>
  <si>
    <t>WS</t>
  </si>
  <si>
    <t>ISO 3166-2:WS</t>
  </si>
  <si>
    <t>SM</t>
  </si>
  <si>
    <t>ISO 3166-2:SM</t>
  </si>
  <si>
    <t>ST</t>
  </si>
  <si>
    <t>ISO 3166-2:ST</t>
  </si>
  <si>
    <t>SA</t>
  </si>
  <si>
    <t>ISO 3166-2:SA</t>
  </si>
  <si>
    <t>SN</t>
  </si>
  <si>
    <t>ISO 3166-2:SN</t>
  </si>
  <si>
    <t>RS</t>
  </si>
  <si>
    <t>ISO 3166-2:RS</t>
  </si>
  <si>
    <t>SC</t>
  </si>
  <si>
    <t>ISO 3166-2:SC</t>
  </si>
  <si>
    <t>SL</t>
  </si>
  <si>
    <t>ISO 3166-2:SL</t>
  </si>
  <si>
    <t>SG</t>
  </si>
  <si>
    <t>ISO 3166-2:SG</t>
  </si>
  <si>
    <t>SX</t>
  </si>
  <si>
    <t>ISO 3166-2:SX</t>
  </si>
  <si>
    <t>Slovakia</t>
  </si>
  <si>
    <t>SK</t>
  </si>
  <si>
    <t>ISO 3166-2:SK</t>
  </si>
  <si>
    <t>SI</t>
  </si>
  <si>
    <t>ISO 3166-2:SI</t>
  </si>
  <si>
    <t>SB</t>
  </si>
  <si>
    <t>ISO 3166-2:SB</t>
  </si>
  <si>
    <t>Somalia</t>
  </si>
  <si>
    <t>SO</t>
  </si>
  <si>
    <t>ISO 3166-2:SO</t>
  </si>
  <si>
    <t>ZA</t>
  </si>
  <si>
    <t>ISO 3166-2:ZA</t>
  </si>
  <si>
    <t>South Georgia and the South Sandwich Islands</t>
  </si>
  <si>
    <t>GS</t>
  </si>
  <si>
    <t>SGS</t>
  </si>
  <si>
    <t>ISO 3166-2:GS</t>
  </si>
  <si>
    <t>SS</t>
  </si>
  <si>
    <t>ISO 3166-2:SS</t>
  </si>
  <si>
    <t>ES</t>
  </si>
  <si>
    <t>ISO 3166-2:ES</t>
  </si>
  <si>
    <t>LK</t>
  </si>
  <si>
    <t>ISO 3166-2:LK</t>
  </si>
  <si>
    <t>SD</t>
  </si>
  <si>
    <t>ISO 3166-2:SD</t>
  </si>
  <si>
    <t>SR</t>
  </si>
  <si>
    <t>ISO 3166-2:SR</t>
  </si>
  <si>
    <t>Svalbard and Jan Mayen</t>
  </si>
  <si>
    <t>SJ</t>
  </si>
  <si>
    <t>SJM</t>
  </si>
  <si>
    <t>ISO 3166-2:SJ</t>
  </si>
  <si>
    <t>SE</t>
  </si>
  <si>
    <t>ISO 3166-2:SE</t>
  </si>
  <si>
    <t>CH</t>
  </si>
  <si>
    <t>ISO 3166-2:CH</t>
  </si>
  <si>
    <t>SY</t>
  </si>
  <si>
    <t>ISO 3166-2:SY</t>
  </si>
  <si>
    <t>Taiwan, Province of China</t>
  </si>
  <si>
    <t>TW</t>
  </si>
  <si>
    <t>TWN</t>
  </si>
  <si>
    <t>ISO 3166-2:TW</t>
  </si>
  <si>
    <t>TJ</t>
  </si>
  <si>
    <t>ISO 3166-2:TJ</t>
  </si>
  <si>
    <t>TZ</t>
  </si>
  <si>
    <t>ISO 3166-2:TZ</t>
  </si>
  <si>
    <t>TH</t>
  </si>
  <si>
    <t>ISO 3166-2:TH</t>
  </si>
  <si>
    <t>TL</t>
  </si>
  <si>
    <t>ISO 3166-2:TL</t>
  </si>
  <si>
    <t>TG</t>
  </si>
  <si>
    <t>ISO 3166-2:TG</t>
  </si>
  <si>
    <t>Tokelau</t>
  </si>
  <si>
    <t>TK</t>
  </si>
  <si>
    <t>TKL</t>
  </si>
  <si>
    <t>ISO 3166-2:TK</t>
  </si>
  <si>
    <t>TO</t>
  </si>
  <si>
    <t>ISO 3166-2:TO</t>
  </si>
  <si>
    <t>TT</t>
  </si>
  <si>
    <t>ISO 3166-2:TT</t>
  </si>
  <si>
    <t>TN</t>
  </si>
  <si>
    <t>ISO 3166-2:TN</t>
  </si>
  <si>
    <t>TR</t>
  </si>
  <si>
    <t>ISO 3166-2:TR</t>
  </si>
  <si>
    <t>TM</t>
  </si>
  <si>
    <t>ISO 3166-2:TM</t>
  </si>
  <si>
    <t>TC</t>
  </si>
  <si>
    <t>ISO 3166-2:TC</t>
  </si>
  <si>
    <t>TV</t>
  </si>
  <si>
    <t>ISO 3166-2:TV</t>
  </si>
  <si>
    <t>UG</t>
  </si>
  <si>
    <t>ISO 3166-2:UG</t>
  </si>
  <si>
    <t>UA</t>
  </si>
  <si>
    <t>ISO 3166-2:UA</t>
  </si>
  <si>
    <t>AE</t>
  </si>
  <si>
    <t>ISO 3166-2:AE</t>
  </si>
  <si>
    <t>GB</t>
  </si>
  <si>
    <t>ISO 3166-2:GB</t>
  </si>
  <si>
    <t>US</t>
  </si>
  <si>
    <t>ISO 3166-2:US</t>
  </si>
  <si>
    <t>United States Minor Outlying Islands</t>
  </si>
  <si>
    <t>UM</t>
  </si>
  <si>
    <t>UMI</t>
  </si>
  <si>
    <t>ISO 3166-2:UM</t>
  </si>
  <si>
    <t>UY</t>
  </si>
  <si>
    <t>ISO 3166-2:UY</t>
  </si>
  <si>
    <t>UZ</t>
  </si>
  <si>
    <t>ISO 3166-2:UZ</t>
  </si>
  <si>
    <t>VU</t>
  </si>
  <si>
    <t>ISO 3166-2:VU</t>
  </si>
  <si>
    <t>VE</t>
  </si>
  <si>
    <t>ISO 3166-2:VE</t>
  </si>
  <si>
    <t>VN</t>
  </si>
  <si>
    <t>ISO 3166-2:VN</t>
  </si>
  <si>
    <t>VG</t>
  </si>
  <si>
    <t>ISO 3166-2:VG</t>
  </si>
  <si>
    <t>VI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</si>
  <si>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</si>
  <si>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</si>
  <si>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</si>
  <si>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</si>
  <si>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</si>
  <si>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</si>
  <si>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</si>
  <si>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</si>
  <si>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</si>
  <si>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</t>
  </si>
  <si>
    <t>ISO 3166-2:YE</t>
  </si>
  <si>
    <t>ZM</t>
  </si>
  <si>
    <t>ISO 3166-2:ZM</t>
  </si>
  <si>
    <t>ZW</t>
  </si>
  <si>
    <t>ISO 3166-2:ZW</t>
  </si>
  <si>
    <t>Match</t>
  </si>
  <si>
    <t>Region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</si>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</sst>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131480-B8AD-4265-97EE-C610A62CB431}" autoFormatId="16" applyNumberFormats="0" applyBorderFormats="0" applyFontFormats="0" applyPatternFormats="0" applyAlignmentFormats="0" applyWidthHeightFormats="0">
  <queryTableRefresh nextId="55">
    <queryTableFields count="54">
      <queryTableField id="1" name="Column1" tableColumnId="1"/>
      <queryTableField id="2" name="Time" tableColumnId="2"/>
      <queryTableField id="3" name="Time Code" tableColumnId="3"/>
      <queryTableField id="4" name="Country Name" tableColumnId="4"/>
      <queryTableField id="5" name="Country Code" tableColumnId="5"/>
      <queryTableField id="6" name="Population, total [SP.POP.TOTL]" tableColumnId="6"/>
      <queryTableField id="7" name="Population growth (annual %) [SP.POP.GROW]" tableColumnId="7"/>
      <queryTableField id="8" name="Surface area (sq. km) [AG.SRF.TOTL.K2]" tableColumnId="8"/>
      <queryTableField id="9" name="Poverty headcount ratio at national poverty lines (% of population) [SI.POV.NAHC]" tableColumnId="9"/>
      <queryTableField id="10" name="GNI, Atlas method (current US$) [NY.GNP.ATLS.CD]" tableColumnId="10"/>
      <queryTableField id="11" name="GNI per capita, Atlas method (current US$) [NY.GNP.PCAP.CD]" tableColumnId="11"/>
      <queryTableField id="12" name="GNI, PPP (current international $) [NY.GNP.MKTP.PP.CD]" tableColumnId="12"/>
      <queryTableField id="13" name="GNI per capita, PPP (current international $) [NY.GNP.PCAP.PP.CD]" tableColumnId="13"/>
      <queryTableField id="14" name="Income share held by lowest 20% [SI.DST.FRST.20]" tableColumnId="14"/>
      <queryTableField id="15" name="Life expectancy at birth, total (years) [SP.DYN.LE00.IN]" tableColumnId="15"/>
      <queryTableField id="16" name="Fertility rate, total (births per woman) [SP.DYN.TFRT.IN]" tableColumnId="16"/>
      <queryTableField id="17" name="Adolescent fertility rate (births per 1,000 women ages 15-19) [SP.ADO.TFRT]" tableColumnId="17"/>
      <queryTableField id="18" name="Contraceptive prevalence, any method (% of married women ages 15-49) [SP.DYN.CONU.ZS]" tableColumnId="18"/>
      <queryTableField id="19" name="Births attended by skilled health staff (% of total) [SH.STA.BRTC.ZS]" tableColumnId="19"/>
      <queryTableField id="20" name="Mortality rate, under-5 (per 1,000 live births) [SH.DYN.MORT]" tableColumnId="20"/>
      <queryTableField id="21" name="Prevalence of underweight, weight for age (% of children under 5) [SH.STA.MALN.ZS]" tableColumnId="21"/>
      <queryTableField id="22" name="Immunization, measles (% of children ages 12-23 months) [SH.IMM.MEAS]" tableColumnId="22"/>
      <queryTableField id="23" name="Primary completion rate, total (% of relevant age group) [SE.PRM.CMPT.ZS]" tableColumnId="23"/>
      <queryTableField id="24" name="School enrollment, secondary (% gross) [SE.SEC.ENRR]" tableColumnId="24"/>
      <queryTableField id="25" name="School enrollment, primary and secondary (gross), gender parity index (GPI) [SE.ENR.PRSC.FM.ZS]" tableColumnId="25"/>
      <queryTableField id="26" name="Prevalence of HIV, total (% of population ages 15-49) [SH.DYN.AIDS.ZS]" tableColumnId="26"/>
      <queryTableField id="27" name="Forest area (sq. km) [AG.LND.FRST.K2]" tableColumnId="27"/>
      <queryTableField id="28" name="Water productivity, total (constant 2015 US$ GDP per cubic meter of total freshwater withdrawal) [ER.GDP.FWTL.M3.KD]" tableColumnId="28"/>
      <queryTableField id="29" name="Energy use (kg of oil equivalent per capita) [EG.USE.PCAP.KG.OE]" tableColumnId="29"/>
      <queryTableField id="30" name="Electric power consumption (kWh per capita) [EG.USE.ELEC.KH.PC]" tableColumnId="30"/>
      <queryTableField id="31" name="GDP (current US$) [NY.GDP.MKTP.CD]" tableColumnId="31"/>
      <queryTableField id="32" name="GDP growth (annual %) [NY.GDP.MKTP.KD.ZG]" tableColumnId="32"/>
      <queryTableField id="33" name="Inflation, GDP deflator (annual %) [NY.GDP.DEFL.KD.ZG]" tableColumnId="33"/>
      <queryTableField id="34" name="Agriculture, forestry, and fishing, value added (% of GDP) [NV.AGR.TOTL.ZS]" tableColumnId="34"/>
      <queryTableField id="35" name="Industry (including construction), value added (% of GDP) [NV.IND.TOTL.ZS]" tableColumnId="35"/>
      <queryTableField id="36" name="Exports of goods and services (% of GDP) [NE.EXP.GNFS.ZS]" tableColumnId="36"/>
      <queryTableField id="37" name="Imports of goods and services (% of GDP) [NE.IMP.GNFS.ZS]" tableColumnId="37"/>
      <queryTableField id="38" name="Gross capital formation (% of GDP) [NE.GDI.TOTL.ZS]" tableColumnId="38"/>
      <queryTableField id="39" name="Revenue, excluding grants (% of GDP) [GC.REV.XGRT.GD.ZS]" tableColumnId="39"/>
      <queryTableField id="40" name="Market capitalization of listed domestic companies (% of GDP) [CM.MKT.LCAP.GD.ZS]" tableColumnId="40"/>
      <queryTableField id="41" name="Military expenditure (% of GDP) [MS.MIL.XPND.GD.ZS]" tableColumnId="41"/>
      <queryTableField id="42" name="Mobile cellular subscriptions (per 100 people) [IT.CEL.SETS.P2]" tableColumnId="42"/>
      <queryTableField id="43" name="High-technology exports (% of manufactured exports) [TX.VAL.TECH.MF.ZS]" tableColumnId="43"/>
      <queryTableField id="44" name="Merchandise trade (% of GDP) [TG.VAL.TOTL.GD.ZS]" tableColumnId="44"/>
      <queryTableField id="45" name="Net barter terms of trade index (2015 = 100) [TT.PRI.MRCH.XD.WD]" tableColumnId="45"/>
      <queryTableField id="46" name="External debt stocks, total (DOD, current US$) [DT.DOD.DECT.CD]" tableColumnId="46"/>
      <queryTableField id="47" name="Total debt service (% of GNI) [DT.TDS.DECT.GN.ZS]" tableColumnId="47"/>
      <queryTableField id="48" name="Net migration [SM.POP.NETM]" tableColumnId="48"/>
      <queryTableField id="49" name="Personal remittances, paid (current US$) [BM.TRF.PWKR.CD.DT]" tableColumnId="49"/>
      <queryTableField id="50" name="Foreign direct investment, net inflows (BoP, current US$) [BX.KLT.DINV.CD.WD]" tableColumnId="50"/>
      <queryTableField id="51" name="Net ODA received per capita (current US$) [DT.ODA.ODAT.PC.ZS]" tableColumnId="51"/>
      <queryTableField id="52" name="GDP per capita (current US$) [NY.GDP.PCAP.CD]" tableColumnId="52"/>
      <queryTableField id="53" name="Foreign direct investment, net (BoP, current US$) [BN.KLT.DINV.CD]" tableColumnId="53"/>
      <queryTableField id="54" name="Inflation, consumer prices (annual %) [FP.CPI.TOTL.ZG]" tableColumnId="5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42E7EAA-362B-4BDF-9E4E-E128D8917ACC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alpha-2" tableColumnId="2"/>
      <queryTableField id="3" name="alpha-3" tableColumnId="3"/>
      <queryTableField id="4" name="country-code" tableColumnId="4"/>
      <queryTableField id="5" name="iso_3166-2" tableColumnId="5"/>
      <queryTableField id="6" name="region" tableColumnId="6"/>
      <queryTableField id="7" name="sub-region" tableColumnId="7"/>
      <queryTableField id="8" name="intermediate-region" tableColumnId="8"/>
      <queryTableField id="9" name="region-code" tableColumnId="9"/>
      <queryTableField id="10" name="sub-region-code" tableColumnId="10"/>
      <queryTableField id="11" name="intermediate-region-cod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7B1938-0256-4AC4-A815-D7627154368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original" tableColumnId="2"/>
      <queryTableField id="3" name="match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1ADA6-7F26-4BE5-8248-F09B6EE722E4}" name="Indicators_2022" displayName="Indicators_2022" ref="A1:BB218" tableType="queryTable" totalsRowShown="0">
  <autoFilter ref="A1:BB218" xr:uid="{0301ADA6-7F26-4BE5-8248-F09B6EE722E4}"/>
  <tableColumns count="54">
    <tableColumn id="1" xr3:uid="{16C89621-E739-4580-8F64-41E2FCB6613A}" uniqueName="1" name="Column1" queryTableFieldId="1"/>
    <tableColumn id="2" xr3:uid="{93FF7431-B33F-4C44-98BE-B9914F741FEA}" uniqueName="2" name="Time" queryTableFieldId="2"/>
    <tableColumn id="3" xr3:uid="{2752E170-2B7C-48F3-9F2C-0CE289BCA2C0}" uniqueName="3" name="Time Code" queryTableFieldId="3" dataDxfId="11"/>
    <tableColumn id="4" xr3:uid="{3BEACA86-D81A-41C8-9950-37798F214741}" uniqueName="4" name="Country Name" queryTableFieldId="4" dataDxfId="10"/>
    <tableColumn id="5" xr3:uid="{07CA8F58-7A4F-4C70-834C-2595E6AEB1FB}" uniqueName="5" name="Country Code" queryTableFieldId="5" dataDxfId="9"/>
    <tableColumn id="6" xr3:uid="{3B5359A0-6E15-4DA4-BF5B-41385C9FBA45}" uniqueName="6" name="Population, total [SP.POP.TOTL]" queryTableFieldId="6"/>
    <tableColumn id="7" xr3:uid="{E66BC0BA-7F7E-4B1D-B65E-FFF28225AD50}" uniqueName="7" name="Population growth (annual %) [SP.POP.GROW]" queryTableFieldId="7"/>
    <tableColumn id="8" xr3:uid="{002C38E7-5E8D-4B9F-B255-7DA28AA092DF}" uniqueName="8" name="Surface area (sq. km) [AG.SRF.TOTL.K2]" queryTableFieldId="8"/>
    <tableColumn id="9" xr3:uid="{C1627539-4849-4A35-9EC8-D6A7A4961D61}" uniqueName="9" name="Poverty headcount ratio at national poverty lines (% of population) [SI.POV.NAHC]" queryTableFieldId="9"/>
    <tableColumn id="10" xr3:uid="{8C18B3FF-7734-474F-9544-A021A63FE145}" uniqueName="10" name="GNI, Atlas method (current US$) [NY.GNP.ATLS.CD]" queryTableFieldId="10"/>
    <tableColumn id="11" xr3:uid="{D28484EB-6FD3-4AAB-8EEA-C78AB34F4E06}" uniqueName="11" name="GNI per capita, Atlas method (current US$) [NY.GNP.PCAP.CD]" queryTableFieldId="11"/>
    <tableColumn id="12" xr3:uid="{A477F419-B6FC-47D4-B7A0-5365185A0112}" uniqueName="12" name="GNI, PPP (current international $) [NY.GNP.MKTP.PP.CD]" queryTableFieldId="12"/>
    <tableColumn id="13" xr3:uid="{3EE58FD0-72D3-4586-87DF-02258DE6A753}" uniqueName="13" name="GNI per capita, PPP (current international $) [NY.GNP.PCAP.PP.CD]" queryTableFieldId="13"/>
    <tableColumn id="14" xr3:uid="{71F100FB-F508-4A45-A7AA-7BF12E8D030D}" uniqueName="14" name="Income share held by lowest 20% [SI.DST.FRST.20]" queryTableFieldId="14"/>
    <tableColumn id="15" xr3:uid="{2BB58955-DC10-4702-9D26-D1142B420F28}" uniqueName="15" name="Life expectancy at birth, total (years) [SP.DYN.LE00.IN]" queryTableFieldId="15"/>
    <tableColumn id="16" xr3:uid="{C68CC96E-DF37-496E-8855-8D244D85D9D1}" uniqueName="16" name="Fertility rate, total (births per woman) [SP.DYN.TFRT.IN]" queryTableFieldId="16"/>
    <tableColumn id="17" xr3:uid="{1AD3F1BF-B82D-4C08-A7A8-5DA7918D1DD5}" uniqueName="17" name="Adolescent fertility rate (births per 1,000 women ages 15-19) [SP.ADO.TFRT]" queryTableFieldId="17"/>
    <tableColumn id="18" xr3:uid="{C79AAE38-1CF0-4DE2-AD2E-C2D6CADEF122}" uniqueName="18" name="Contraceptive prevalence, any method (% of married women ages 15-49) [SP.DYN.CONU.ZS]" queryTableFieldId="18"/>
    <tableColumn id="19" xr3:uid="{B6D3D059-69C2-4EF3-B3D9-6CE5287CDE14}" uniqueName="19" name="Births attended by skilled health staff (% of total) [SH.STA.BRTC.ZS]" queryTableFieldId="19"/>
    <tableColumn id="20" xr3:uid="{6FE439C9-6553-4E7F-B6CE-185682A4CFB5}" uniqueName="20" name="Mortality rate, under-5 (per 1,000 live births) [SH.DYN.MORT]" queryTableFieldId="20"/>
    <tableColumn id="21" xr3:uid="{65CFAFDB-A574-4373-9574-06C406D5614F}" uniqueName="21" name="Prevalence of underweight, weight for age (% of children under 5) [SH.STA.MALN.ZS]" queryTableFieldId="21"/>
    <tableColumn id="22" xr3:uid="{7F94B9C1-5830-4280-865E-0A871DC2090D}" uniqueName="22" name="Immunization, measles (% of children ages 12-23 months) [SH.IMM.MEAS]" queryTableFieldId="22"/>
    <tableColumn id="23" xr3:uid="{60577EAC-94C8-4E77-9223-2E3C24CE5C87}" uniqueName="23" name="Primary completion rate, total (% of relevant age group) [SE.PRM.CMPT.ZS]" queryTableFieldId="23"/>
    <tableColumn id="24" xr3:uid="{CEAE1EA5-EA91-42F2-83A7-22FBC20EBD58}" uniqueName="24" name="School enrollment, secondary (% gross) [SE.SEC.ENRR]" queryTableFieldId="24"/>
    <tableColumn id="25" xr3:uid="{C4CCB292-E647-409D-8158-5276DEEDADA8}" uniqueName="25" name="School enrollment, primary and secondary (gross), gender parity index (GPI) [SE.ENR.PRSC.FM.ZS]" queryTableFieldId="25"/>
    <tableColumn id="26" xr3:uid="{F664A48F-A28B-48A9-B3C0-377753811371}" uniqueName="26" name="Prevalence of HIV, total (% of population ages 15-49) [SH.DYN.AIDS.ZS]" queryTableFieldId="26"/>
    <tableColumn id="27" xr3:uid="{BC05353A-1CC0-4CD4-8750-1E64D82259C3}" uniqueName="27" name="Forest area (sq. km) [AG.LND.FRST.K2]" queryTableFieldId="27"/>
    <tableColumn id="28" xr3:uid="{AB9525A7-96B8-4A0F-872A-82BA86894EDA}" uniqueName="28" name="Water productivity, total (constant 2015 US$ GDP per cubic meter of total freshwater withdrawal) [ER.GDP.FWTL.M3.KD]" queryTableFieldId="28"/>
    <tableColumn id="29" xr3:uid="{7BBC0E2A-8671-48B8-84B8-4480FF401737}" uniqueName="29" name="Energy use (kg of oil equivalent per capita) [EG.USE.PCAP.KG.OE]" queryTableFieldId="29"/>
    <tableColumn id="30" xr3:uid="{CCE243E1-6D69-40B5-B4F2-C5B3E18C6780}" uniqueName="30" name="Electric power consumption (kWh per capita) [EG.USE.ELEC.KH.PC]" queryTableFieldId="30"/>
    <tableColumn id="31" xr3:uid="{C5FBDB10-B8D1-4799-BBA5-9F986E80FB1D}" uniqueName="31" name="GDP (current US$) [NY.GDP.MKTP.CD]" queryTableFieldId="31"/>
    <tableColumn id="32" xr3:uid="{29A2F2CC-DFCD-460B-93A9-00ED1377B4F1}" uniqueName="32" name="GDP growth (annual %) [NY.GDP.MKTP.KD.ZG]" queryTableFieldId="32"/>
    <tableColumn id="33" xr3:uid="{6C0C120A-D94C-4015-BA56-F1914A40083F}" uniqueName="33" name="Inflation, GDP deflator (annual %) [NY.GDP.DEFL.KD.ZG]" queryTableFieldId="33"/>
    <tableColumn id="34" xr3:uid="{2DBD69FD-3AF9-4592-859A-40069746FF5B}" uniqueName="34" name="Agriculture, forestry, and fishing, value added (% of GDP) [NV.AGR.TOTL.ZS]" queryTableFieldId="34"/>
    <tableColumn id="35" xr3:uid="{52B6DED2-CB4D-48E4-A04C-F4934024FF21}" uniqueName="35" name="Industry (including construction), value added (% of GDP) [NV.IND.TOTL.ZS]" queryTableFieldId="35"/>
    <tableColumn id="36" xr3:uid="{E63C5CC8-2159-4447-8588-381830F7A4F0}" uniqueName="36" name="Exports of goods and services (% of GDP) [NE.EXP.GNFS.ZS]" queryTableFieldId="36"/>
    <tableColumn id="37" xr3:uid="{B1918B2D-9E70-46DF-9F36-9DA60F1C81BB}" uniqueName="37" name="Imports of goods and services (% of GDP) [NE.IMP.GNFS.ZS]" queryTableFieldId="37"/>
    <tableColumn id="38" xr3:uid="{08FE5B18-FCB9-43A0-A8D2-E81C0B7E2B05}" uniqueName="38" name="Gross capital formation (% of GDP) [NE.GDI.TOTL.ZS]" queryTableFieldId="38"/>
    <tableColumn id="39" xr3:uid="{86028383-817A-4D47-88CD-206DC52BB1E6}" uniqueName="39" name="Revenue, excluding grants (% of GDP) [GC.REV.XGRT.GD.ZS]" queryTableFieldId="39"/>
    <tableColumn id="40" xr3:uid="{8D61A571-9F9F-4285-BD08-7CA24D391D6A}" uniqueName="40" name="Market capitalization of listed domestic companies (% of GDP) [CM.MKT.LCAP.GD.ZS]" queryTableFieldId="40"/>
    <tableColumn id="41" xr3:uid="{EE59A447-57B5-402F-B9B8-ED2EAF01EE35}" uniqueName="41" name="Military expenditure (% of GDP) [MS.MIL.XPND.GD.ZS]" queryTableFieldId="41"/>
    <tableColumn id="42" xr3:uid="{EB58AD6F-AC29-44D7-9E92-2EB79918FBB7}" uniqueName="42" name="Mobile cellular subscriptions (per 100 people) [IT.CEL.SETS.P2]" queryTableFieldId="42"/>
    <tableColumn id="43" xr3:uid="{F7988715-0CC5-4BD3-B717-089F72DBD79B}" uniqueName="43" name="High-technology exports (% of manufactured exports) [TX.VAL.TECH.MF.ZS]" queryTableFieldId="43"/>
    <tableColumn id="44" xr3:uid="{EB492A87-D1DC-446E-AD7B-9940C68D1A0E}" uniqueName="44" name="Merchandise trade (% of GDP) [TG.VAL.TOTL.GD.ZS]" queryTableFieldId="44"/>
    <tableColumn id="45" xr3:uid="{B329B451-9784-46EC-B906-44BC86F80FD5}" uniqueName="45" name="Net barter terms of trade index (2015 = 100) [TT.PRI.MRCH.XD.WD]" queryTableFieldId="45"/>
    <tableColumn id="46" xr3:uid="{B7E3B7B1-FDA0-44F8-B9F3-EE25A76CBAB5}" uniqueName="46" name="External debt stocks, total (DOD, current US$) [DT.DOD.DECT.CD]" queryTableFieldId="46"/>
    <tableColumn id="47" xr3:uid="{705992F0-E3E2-4E4F-8B67-3C53B885DE87}" uniqueName="47" name="Total debt service (% of GNI) [DT.TDS.DECT.GN.ZS]" queryTableFieldId="47"/>
    <tableColumn id="48" xr3:uid="{77705D28-21DE-48AF-A432-1600C851434A}" uniqueName="48" name="Net migration [SM.POP.NETM]" queryTableFieldId="48"/>
    <tableColumn id="49" xr3:uid="{50CDBCF3-3569-4611-BB15-24BADEECF05D}" uniqueName="49" name="Personal remittances, paid (current US$) [BM.TRF.PWKR.CD.DT]" queryTableFieldId="49"/>
    <tableColumn id="50" xr3:uid="{2FD8276F-2271-4488-A57D-3C410CD55036}" uniqueName="50" name="Foreign direct investment, net inflows (BoP, current US$) [BX.KLT.DINV.CD.WD]" queryTableFieldId="50"/>
    <tableColumn id="51" xr3:uid="{BAF792CE-425C-4C0B-825C-405327704284}" uniqueName="51" name="Net ODA received per capita (current US$) [DT.ODA.ODAT.PC.ZS]" queryTableFieldId="51"/>
    <tableColumn id="52" xr3:uid="{D891BBAE-81C5-4796-8876-CF515BBDCB1F}" uniqueName="52" name="GDP per capita (current US$) [NY.GDP.PCAP.CD]" queryTableFieldId="52"/>
    <tableColumn id="53" xr3:uid="{12642FB9-5F4C-451B-99A1-3D56B344A042}" uniqueName="53" name="Foreign direct investment, net (BoP, current US$) [BN.KLT.DINV.CD]" queryTableFieldId="53"/>
    <tableColumn id="54" xr3:uid="{CDDA4A7C-A1AA-4DBB-8F45-840A1D7939FA}" uniqueName="54" name="Inflation, consumer prices (annual %) [FP.CPI.TOTL.ZG]" queryTableFieldId="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64D787-8959-4A40-9BA4-94196DA64ECC}" name="regions" displayName="regions" ref="A1:K250" tableType="queryTable" totalsRowShown="0">
  <autoFilter ref="A1:K250" xr:uid="{0064D787-8959-4A40-9BA4-94196DA64ECC}"/>
  <tableColumns count="11">
    <tableColumn id="1" xr3:uid="{08597C62-C8A5-4C36-B1A0-B11ACBC4A227}" uniqueName="1" name="name" queryTableFieldId="1" dataDxfId="8"/>
    <tableColumn id="2" xr3:uid="{BA140D32-C935-442B-B395-ECF1B5DE1554}" uniqueName="2" name="alpha-2" queryTableFieldId="2" dataDxfId="7"/>
    <tableColumn id="3" xr3:uid="{249A3907-4490-4701-89AD-97349B66FB40}" uniqueName="3" name="alpha-3" queryTableFieldId="3" dataDxfId="6"/>
    <tableColumn id="4" xr3:uid="{1FB404A5-6797-4ADA-92FC-BB49FCF0F3CC}" uniqueName="4" name="country-code" queryTableFieldId="4"/>
    <tableColumn id="5" xr3:uid="{D72EB5C8-CC4B-4792-AD47-52F91C5004DB}" uniqueName="5" name="iso_3166-2" queryTableFieldId="5" dataDxfId="5"/>
    <tableColumn id="6" xr3:uid="{879A19F9-0E97-4F4C-98ED-CE764008AB96}" uniqueName="6" name="region" queryTableFieldId="6" dataDxfId="4"/>
    <tableColumn id="7" xr3:uid="{DC3D815F-EAE2-4EB1-A72A-DB8E0E40BD8F}" uniqueName="7" name="sub-region" queryTableFieldId="7" dataDxfId="3"/>
    <tableColumn id="8" xr3:uid="{577909DE-F466-4242-B082-738DFA10A004}" uniqueName="8" name="intermediate-region" queryTableFieldId="8" dataDxfId="2"/>
    <tableColumn id="9" xr3:uid="{A804D6CC-DFEB-4A8B-A6DA-8FEC6E500028}" uniqueName="9" name="region-code" queryTableFieldId="9"/>
    <tableColumn id="10" xr3:uid="{0A90D5D6-C87B-4EA7-83B3-2B6492D8758D}" uniqueName="10" name="sub-region-code" queryTableFieldId="10"/>
    <tableColumn id="11" xr3:uid="{46271E84-77E3-4F39-ACD1-C48C8E7A4D88}" uniqueName="11" name="intermediate-region-cod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3929C-D50D-43D0-A2DD-D17B412D9989}" name="matches" displayName="matches" ref="A1:C218" tableType="queryTable" totalsRowShown="0">
  <autoFilter ref="A1:C218" xr:uid="{F3A3929C-D50D-43D0-A2DD-D17B412D9989}"/>
  <tableColumns count="3">
    <tableColumn id="1" xr3:uid="{6EE22FE3-88E7-456D-8336-E775A860DA72}" uniqueName="1" name="Column1" queryTableFieldId="1"/>
    <tableColumn id="2" xr3:uid="{961FF13E-A5FD-49E1-83FF-3E5D3B4E2223}" uniqueName="2" name="original" queryTableFieldId="2" dataDxfId="1"/>
    <tableColumn id="3" xr3:uid="{2F336442-E480-4970-9AD0-C7DD1F4D8ADC}" uniqueName="3" name="match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4EC7-8180-4F9B-90FA-B2B3E479E685}">
  <dimension ref="A1:BB218"/>
  <sheetViews>
    <sheetView topLeftCell="AN1" workbookViewId="0">
      <selection activeCell="AP1" activeCellId="5" sqref="F1:F1048576 H1:H1048576 O1:O1048576 AE1:AE1048576 AZ1:AZ1048576 AP1:AP1048576"/>
    </sheetView>
  </sheetViews>
  <sheetFormatPr defaultRowHeight="15" x14ac:dyDescent="0.25"/>
  <cols>
    <col min="1" max="1" width="10.7109375" bestFit="1" customWidth="1"/>
    <col min="2" max="2" width="7.28515625" bestFit="1" customWidth="1"/>
    <col min="3" max="3" width="12.140625" bestFit="1" customWidth="1"/>
    <col min="4" max="4" width="26.28515625" bestFit="1" customWidth="1"/>
    <col min="5" max="5" width="14.7109375" bestFit="1" customWidth="1"/>
    <col min="6" max="6" width="30.5703125" bestFit="1" customWidth="1"/>
    <col min="7" max="7" width="43.140625" bestFit="1" customWidth="1"/>
    <col min="8" max="8" width="36.85546875" bestFit="1" customWidth="1"/>
    <col min="9" max="9" width="74.140625" bestFit="1" customWidth="1"/>
    <col min="10" max="10" width="47" bestFit="1" customWidth="1"/>
    <col min="11" max="11" width="56.5703125" bestFit="1" customWidth="1"/>
    <col min="12" max="12" width="51.7109375" bestFit="1" customWidth="1"/>
    <col min="13" max="13" width="60.28515625" bestFit="1" customWidth="1"/>
    <col min="14" max="14" width="46.140625" bestFit="1" customWidth="1"/>
    <col min="15" max="15" width="49.7109375" bestFit="1" customWidth="1"/>
    <col min="16" max="16" width="50.7109375" bestFit="1" customWidth="1"/>
    <col min="17" max="17" width="67.85546875" bestFit="1" customWidth="1"/>
    <col min="18" max="18" width="80.85546875" bestFit="1" customWidth="1"/>
    <col min="19" max="19" width="60.7109375" bestFit="1" customWidth="1"/>
    <col min="20" max="20" width="55.5703125" bestFit="1" customWidth="1"/>
    <col min="21" max="21" width="76.140625" bestFit="1" customWidth="1"/>
    <col min="22" max="22" width="67.140625" bestFit="1" customWidth="1"/>
    <col min="23" max="23" width="68" bestFit="1" customWidth="1"/>
    <col min="24" max="24" width="49.7109375" bestFit="1" customWidth="1"/>
    <col min="25" max="25" width="80.85546875" bestFit="1" customWidth="1"/>
    <col min="26" max="26" width="64" bestFit="1" customWidth="1"/>
    <col min="27" max="27" width="35.85546875" bestFit="1" customWidth="1"/>
    <col min="28" max="28" width="80.85546875" bestFit="1" customWidth="1"/>
    <col min="29" max="29" width="58.85546875" bestFit="1" customWidth="1"/>
    <col min="30" max="30" width="60.28515625" bestFit="1" customWidth="1"/>
    <col min="31" max="31" width="35.7109375" bestFit="1" customWidth="1"/>
    <col min="32" max="32" width="42.85546875" bestFit="1" customWidth="1"/>
    <col min="33" max="33" width="50.85546875" bestFit="1" customWidth="1"/>
    <col min="34" max="35" width="68.28515625" bestFit="1" customWidth="1"/>
    <col min="36" max="36" width="53.85546875" bestFit="1" customWidth="1"/>
    <col min="37" max="37" width="54.42578125" bestFit="1" customWidth="1"/>
    <col min="38" max="38" width="48" bestFit="1" customWidth="1"/>
    <col min="39" max="39" width="54.28515625" bestFit="1" customWidth="1"/>
    <col min="40" max="40" width="76.28515625" bestFit="1" customWidth="1"/>
    <col min="41" max="41" width="49.85546875" bestFit="1" customWidth="1"/>
    <col min="42" max="42" width="56.5703125" bestFit="1" customWidth="1"/>
    <col min="43" max="43" width="68.28515625" bestFit="1" customWidth="1"/>
    <col min="44" max="44" width="47.5703125" bestFit="1" customWidth="1"/>
    <col min="45" max="45" width="60.28515625" bestFit="1" customWidth="1"/>
    <col min="46" max="46" width="58.7109375" bestFit="1" customWidth="1"/>
    <col min="47" max="47" width="46.28515625" bestFit="1" customWidth="1"/>
    <col min="48" max="48" width="29.5703125" bestFit="1" customWidth="1"/>
    <col min="49" max="49" width="57.85546875" bestFit="1" customWidth="1"/>
    <col min="50" max="50" width="71.28515625" bestFit="1" customWidth="1"/>
    <col min="51" max="51" width="58.7109375" bestFit="1" customWidth="1"/>
    <col min="52" max="52" width="44.28515625" bestFit="1" customWidth="1"/>
    <col min="53" max="53" width="61.28515625" bestFit="1" customWidth="1"/>
    <col min="54" max="54" width="50.1406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0</v>
      </c>
      <c r="B2">
        <v>2022</v>
      </c>
      <c r="C2" t="s">
        <v>54</v>
      </c>
      <c r="D2" t="s">
        <v>55</v>
      </c>
      <c r="E2" t="s">
        <v>56</v>
      </c>
      <c r="F2">
        <v>40578842</v>
      </c>
      <c r="G2">
        <v>1.4357043704869901</v>
      </c>
      <c r="H2">
        <v>652860</v>
      </c>
      <c r="J2">
        <v>14887595113.219812</v>
      </c>
      <c r="K2">
        <v>370</v>
      </c>
      <c r="L2">
        <v>86404553811.182892</v>
      </c>
      <c r="M2">
        <v>2130</v>
      </c>
      <c r="O2">
        <v>65.617000000000004</v>
      </c>
      <c r="P2">
        <v>4.9320000000000004</v>
      </c>
      <c r="Q2">
        <v>65.338999999999999</v>
      </c>
      <c r="T2">
        <v>57.4</v>
      </c>
      <c r="U2">
        <v>18.399999999999999</v>
      </c>
      <c r="V2">
        <v>56</v>
      </c>
      <c r="Z2">
        <v>0.1</v>
      </c>
      <c r="AA2">
        <v>12084.4</v>
      </c>
      <c r="AB2">
        <v>0.75560762302232698</v>
      </c>
      <c r="AE2">
        <v>14497243872.133739</v>
      </c>
      <c r="AF2">
        <v>-6.2401719924026935</v>
      </c>
      <c r="AG2">
        <v>9.4062393393132169</v>
      </c>
      <c r="AH2">
        <v>33.701432321392254</v>
      </c>
      <c r="AI2">
        <v>16.050367722396278</v>
      </c>
      <c r="AJ2">
        <v>18.380042401637471</v>
      </c>
      <c r="AK2">
        <v>54.50542720701614</v>
      </c>
      <c r="AL2">
        <v>16.7</v>
      </c>
      <c r="AP2">
        <v>56.265500000000003</v>
      </c>
      <c r="AR2">
        <v>32.068164411141616</v>
      </c>
      <c r="AS2">
        <v>96.1</v>
      </c>
      <c r="AT2">
        <v>3393247241.6999998</v>
      </c>
      <c r="AU2">
        <v>0.18280878027455971</v>
      </c>
      <c r="AV2">
        <v>-647402</v>
      </c>
      <c r="AX2">
        <v>0</v>
      </c>
      <c r="AY2">
        <v>96.478037520529284</v>
      </c>
      <c r="AZ2">
        <v>357.26115279814388</v>
      </c>
      <c r="BB2">
        <v>13.712102372006481</v>
      </c>
    </row>
    <row r="3" spans="1:54" x14ac:dyDescent="0.25">
      <c r="A3">
        <v>1</v>
      </c>
      <c r="B3">
        <v>2022</v>
      </c>
      <c r="C3" t="s">
        <v>54</v>
      </c>
      <c r="D3" t="s">
        <v>57</v>
      </c>
      <c r="E3" t="s">
        <v>58</v>
      </c>
      <c r="F3">
        <v>2451636</v>
      </c>
      <c r="G3">
        <v>-1.54315667695786</v>
      </c>
      <c r="H3">
        <v>28750</v>
      </c>
      <c r="I3">
        <v>19.7</v>
      </c>
      <c r="J3">
        <v>18934768339.355545</v>
      </c>
      <c r="K3">
        <v>7720</v>
      </c>
      <c r="L3">
        <v>53075777964.21212</v>
      </c>
      <c r="M3">
        <v>21650</v>
      </c>
      <c r="O3">
        <v>78.769000000000005</v>
      </c>
      <c r="P3">
        <v>1.355</v>
      </c>
      <c r="Q3">
        <v>12.827</v>
      </c>
      <c r="T3">
        <v>9.4</v>
      </c>
      <c r="V3">
        <v>86</v>
      </c>
      <c r="W3">
        <v>101.176280497657</v>
      </c>
      <c r="X3">
        <v>97.3224714726407</v>
      </c>
      <c r="Z3">
        <v>0.1</v>
      </c>
      <c r="AA3">
        <v>7889</v>
      </c>
      <c r="AB3">
        <v>18.049365539050147</v>
      </c>
      <c r="AC3">
        <v>884.57221529162973</v>
      </c>
      <c r="AD3">
        <v>2840.9600772708509</v>
      </c>
      <c r="AE3">
        <v>19017247013.882061</v>
      </c>
      <c r="AF3">
        <v>4.8268006234359007</v>
      </c>
      <c r="AG3">
        <v>9.8616099201628771</v>
      </c>
      <c r="AH3">
        <v>16.984475447657445</v>
      </c>
      <c r="AI3">
        <v>23.025052215954904</v>
      </c>
      <c r="AJ3">
        <v>37.197075561497691</v>
      </c>
      <c r="AK3">
        <v>47.500968032988865</v>
      </c>
      <c r="AL3">
        <v>26.802365474129402</v>
      </c>
      <c r="AM3">
        <v>24.731661384617311</v>
      </c>
      <c r="AO3">
        <v>1.20878861551122</v>
      </c>
      <c r="AP3">
        <v>98.394999999999996</v>
      </c>
      <c r="AQ3">
        <v>5.9640997756803683E-2</v>
      </c>
      <c r="AR3">
        <v>66.823552277169838</v>
      </c>
      <c r="AS3">
        <v>115.8</v>
      </c>
      <c r="AT3">
        <v>10420148491.4</v>
      </c>
      <c r="AU3">
        <v>3.7762300102236863</v>
      </c>
      <c r="AV3">
        <v>-16426</v>
      </c>
      <c r="AW3">
        <v>149489653.21212199</v>
      </c>
      <c r="AX3">
        <v>1441381891.41694</v>
      </c>
      <c r="AY3">
        <v>129.20652352223291</v>
      </c>
      <c r="AZ3">
        <v>7756.9618874425323</v>
      </c>
      <c r="BA3">
        <v>-1249848499.57359</v>
      </c>
      <c r="BB3">
        <v>6.725202715300596</v>
      </c>
    </row>
    <row r="4" spans="1:54" x14ac:dyDescent="0.25">
      <c r="A4">
        <v>2</v>
      </c>
      <c r="B4">
        <v>2022</v>
      </c>
      <c r="C4" t="s">
        <v>54</v>
      </c>
      <c r="D4" t="s">
        <v>59</v>
      </c>
      <c r="E4" t="s">
        <v>60</v>
      </c>
      <c r="F4">
        <v>45477389</v>
      </c>
      <c r="G4">
        <v>1.58758210690673</v>
      </c>
      <c r="H4">
        <v>2381740</v>
      </c>
      <c r="J4">
        <v>201439490241.72775</v>
      </c>
      <c r="K4">
        <v>4430</v>
      </c>
      <c r="L4">
        <v>703392535658.33545</v>
      </c>
      <c r="M4">
        <v>15470</v>
      </c>
      <c r="O4">
        <v>76.129000000000005</v>
      </c>
      <c r="P4">
        <v>2.8170000000000002</v>
      </c>
      <c r="Q4">
        <v>8.9770000000000003</v>
      </c>
      <c r="T4">
        <v>22.3</v>
      </c>
      <c r="V4">
        <v>79</v>
      </c>
      <c r="W4">
        <v>93.929103850186195</v>
      </c>
      <c r="X4">
        <v>104.55027008056599</v>
      </c>
      <c r="Z4">
        <v>0.1</v>
      </c>
      <c r="AA4">
        <v>19680</v>
      </c>
      <c r="AB4">
        <v>20.080692589081977</v>
      </c>
      <c r="AC4">
        <v>1499.5099995851717</v>
      </c>
      <c r="AD4">
        <v>1756.5872130433872</v>
      </c>
      <c r="AE4">
        <v>225581644702.56781</v>
      </c>
      <c r="AF4">
        <v>3.6000000009491515</v>
      </c>
      <c r="AG4">
        <v>22.920305598874407</v>
      </c>
      <c r="AH4">
        <v>10.647063855347213</v>
      </c>
      <c r="AI4">
        <v>43.052130624080206</v>
      </c>
      <c r="AJ4">
        <v>30.79155617633414</v>
      </c>
      <c r="AK4">
        <v>20.398533192055559</v>
      </c>
      <c r="AL4">
        <v>35.097953699269411</v>
      </c>
      <c r="AO4">
        <v>4.0574881146029398</v>
      </c>
      <c r="AP4">
        <v>107.78700000000001</v>
      </c>
      <c r="AR4">
        <v>46.362814730736595</v>
      </c>
      <c r="AS4">
        <v>150.80000000000001</v>
      </c>
      <c r="AT4">
        <v>7129258689.1999998</v>
      </c>
      <c r="AU4">
        <v>0.13590795129680286</v>
      </c>
      <c r="AV4">
        <v>-14684</v>
      </c>
      <c r="AW4">
        <v>77927357.221963704</v>
      </c>
      <c r="AX4">
        <v>241796029.580125</v>
      </c>
      <c r="AY4">
        <v>4.7574498952904491</v>
      </c>
      <c r="AZ4">
        <v>4960.3033433288756</v>
      </c>
      <c r="BA4">
        <v>-157209788.40752202</v>
      </c>
      <c r="BB4">
        <v>9.2655155155155295</v>
      </c>
    </row>
    <row r="5" spans="1:54" x14ac:dyDescent="0.25">
      <c r="A5">
        <v>3</v>
      </c>
      <c r="B5">
        <v>2022</v>
      </c>
      <c r="C5" t="s">
        <v>54</v>
      </c>
      <c r="D5" t="s">
        <v>61</v>
      </c>
      <c r="E5" t="s">
        <v>62</v>
      </c>
      <c r="F5">
        <v>48342</v>
      </c>
      <c r="G5">
        <v>-1.81008765020754</v>
      </c>
      <c r="H5">
        <v>200</v>
      </c>
      <c r="O5">
        <v>72.751999999999995</v>
      </c>
      <c r="P5">
        <v>2.3050000000000002</v>
      </c>
      <c r="Q5">
        <v>34.103999999999999</v>
      </c>
      <c r="AA5">
        <v>170.7</v>
      </c>
      <c r="AE5">
        <v>871000000</v>
      </c>
      <c r="AF5">
        <v>1.7350157728706534</v>
      </c>
      <c r="AG5">
        <v>14.152764857881124</v>
      </c>
      <c r="AJ5">
        <v>46.957520091848451</v>
      </c>
      <c r="AK5">
        <v>77.726750861079225</v>
      </c>
      <c r="AR5">
        <v>117.68082663605051</v>
      </c>
      <c r="AS5">
        <v>181.8</v>
      </c>
      <c r="AV5">
        <v>-1305</v>
      </c>
      <c r="AZ5">
        <v>18017.458938397252</v>
      </c>
    </row>
    <row r="6" spans="1:54" x14ac:dyDescent="0.25">
      <c r="A6">
        <v>4</v>
      </c>
      <c r="B6">
        <v>2022</v>
      </c>
      <c r="C6" t="s">
        <v>54</v>
      </c>
      <c r="D6" t="s">
        <v>63</v>
      </c>
      <c r="E6" t="s">
        <v>64</v>
      </c>
      <c r="F6">
        <v>79705</v>
      </c>
      <c r="G6">
        <v>1.6967680859824199</v>
      </c>
      <c r="H6">
        <v>470</v>
      </c>
      <c r="J6">
        <v>3793607278.9206018</v>
      </c>
      <c r="K6">
        <v>47600</v>
      </c>
      <c r="L6">
        <v>5692248077.042347</v>
      </c>
      <c r="M6">
        <v>71420</v>
      </c>
      <c r="O6">
        <v>84.016000000000005</v>
      </c>
      <c r="P6">
        <v>1.071</v>
      </c>
      <c r="Q6">
        <v>3.5270000000000001</v>
      </c>
      <c r="T6">
        <v>2.7</v>
      </c>
      <c r="V6">
        <v>98</v>
      </c>
      <c r="X6">
        <v>98.509872436523395</v>
      </c>
      <c r="AA6">
        <v>160</v>
      </c>
      <c r="AE6">
        <v>3380611694.7339158</v>
      </c>
      <c r="AF6">
        <v>9.564612256481837</v>
      </c>
      <c r="AG6">
        <v>4.2366522645466347</v>
      </c>
      <c r="AH6">
        <v>0.48749186215661411</v>
      </c>
      <c r="AI6">
        <v>11.14534110413013</v>
      </c>
      <c r="AM6">
        <v>29.381625073591021</v>
      </c>
      <c r="AP6">
        <v>142.42599999999999</v>
      </c>
      <c r="AQ6">
        <v>13.307661357266515</v>
      </c>
      <c r="AR6">
        <v>66.556002379832478</v>
      </c>
      <c r="AS6">
        <v>92</v>
      </c>
      <c r="AV6">
        <v>1102</v>
      </c>
      <c r="AW6">
        <v>123883259.200783</v>
      </c>
      <c r="AX6">
        <v>593981421.29894304</v>
      </c>
      <c r="AZ6">
        <v>42414.047986122772</v>
      </c>
      <c r="BA6">
        <v>-450603575.93759602</v>
      </c>
    </row>
    <row r="7" spans="1:54" x14ac:dyDescent="0.25">
      <c r="A7">
        <v>5</v>
      </c>
      <c r="B7">
        <v>2022</v>
      </c>
      <c r="C7" t="s">
        <v>54</v>
      </c>
      <c r="D7" t="s">
        <v>65</v>
      </c>
      <c r="E7" t="s">
        <v>66</v>
      </c>
      <c r="F7">
        <v>35635029</v>
      </c>
      <c r="G7">
        <v>3.1430261204460099</v>
      </c>
      <c r="H7">
        <v>1246700</v>
      </c>
      <c r="J7">
        <v>83435815174.35463</v>
      </c>
      <c r="K7">
        <v>2340</v>
      </c>
      <c r="L7">
        <v>320812020198.55615</v>
      </c>
      <c r="M7">
        <v>9000</v>
      </c>
      <c r="O7">
        <v>64.245999999999995</v>
      </c>
      <c r="P7">
        <v>5.2089999999999996</v>
      </c>
      <c r="Q7">
        <v>141.97800000000001</v>
      </c>
      <c r="T7">
        <v>66.400000000000006</v>
      </c>
      <c r="V7">
        <v>50</v>
      </c>
      <c r="Z7">
        <v>1.6</v>
      </c>
      <c r="AA7">
        <v>654972.51100000006</v>
      </c>
      <c r="AB7">
        <v>144.4641409078441</v>
      </c>
      <c r="AC7">
        <v>423.12251760056375</v>
      </c>
      <c r="AD7">
        <v>392.50704692845909</v>
      </c>
      <c r="AE7">
        <v>131212208930.3441</v>
      </c>
      <c r="AF7">
        <v>4.2160025847513651</v>
      </c>
      <c r="AG7">
        <v>18.121771621760701</v>
      </c>
      <c r="AH7">
        <v>18.989092980165253</v>
      </c>
      <c r="AI7">
        <v>34.933359178017902</v>
      </c>
      <c r="AJ7">
        <v>35.196053021706348</v>
      </c>
      <c r="AK7">
        <v>20.058720249677169</v>
      </c>
      <c r="AL7">
        <v>14.176985954190139</v>
      </c>
      <c r="AM7">
        <v>26.016294278308237</v>
      </c>
      <c r="AO7">
        <v>1.410163657162</v>
      </c>
      <c r="AP7">
        <v>66.600800000000007</v>
      </c>
      <c r="AQ7">
        <v>22.063503999578096</v>
      </c>
      <c r="AR7">
        <v>52.646015613281115</v>
      </c>
      <c r="AS7">
        <v>167.3</v>
      </c>
      <c r="AT7">
        <v>60445747533.300003</v>
      </c>
      <c r="AU7">
        <v>12.40287500625875</v>
      </c>
      <c r="AV7">
        <v>-995</v>
      </c>
      <c r="AW7">
        <v>517668187.39297998</v>
      </c>
      <c r="AX7">
        <v>-6598652652.0938902</v>
      </c>
      <c r="AY7">
        <v>2.6920665479698611</v>
      </c>
      <c r="AZ7">
        <v>3682.1131513697969</v>
      </c>
      <c r="BA7">
        <v>6639719014.3438902</v>
      </c>
      <c r="BB7">
        <v>21.355290132082221</v>
      </c>
    </row>
    <row r="8" spans="1:54" x14ac:dyDescent="0.25">
      <c r="A8">
        <v>6</v>
      </c>
      <c r="B8">
        <v>2022</v>
      </c>
      <c r="C8" t="s">
        <v>54</v>
      </c>
      <c r="D8" t="s">
        <v>67</v>
      </c>
      <c r="E8" t="s">
        <v>68</v>
      </c>
      <c r="F8">
        <v>92840</v>
      </c>
      <c r="G8">
        <v>0.53027031899447596</v>
      </c>
      <c r="H8">
        <v>440</v>
      </c>
      <c r="J8">
        <v>1747549810.1369686</v>
      </c>
      <c r="K8">
        <v>18820</v>
      </c>
      <c r="L8">
        <v>2641055705.5945048</v>
      </c>
      <c r="M8">
        <v>28450</v>
      </c>
      <c r="O8">
        <v>77.483000000000004</v>
      </c>
      <c r="P8">
        <v>1.58</v>
      </c>
      <c r="Q8">
        <v>33.469000000000001</v>
      </c>
      <c r="T8">
        <v>9.6</v>
      </c>
      <c r="V8">
        <v>99</v>
      </c>
      <c r="W8">
        <v>123.354735152488</v>
      </c>
      <c r="X8">
        <v>107.799908772997</v>
      </c>
      <c r="Z8">
        <v>1.1000000000000001</v>
      </c>
      <c r="AA8">
        <v>79.911000000000001</v>
      </c>
      <c r="AB8">
        <v>368.34000393294997</v>
      </c>
      <c r="AE8">
        <v>1866566666.6666665</v>
      </c>
      <c r="AF8">
        <v>9.1078062338595771</v>
      </c>
      <c r="AG8">
        <v>6.7802747078426648</v>
      </c>
      <c r="AH8">
        <v>1.9556603230728629</v>
      </c>
      <c r="AI8">
        <v>19.658195974784363</v>
      </c>
      <c r="AJ8">
        <v>54.723764963599244</v>
      </c>
      <c r="AK8">
        <v>62.979762804753427</v>
      </c>
      <c r="AP8">
        <v>200.541</v>
      </c>
      <c r="AQ8">
        <v>0</v>
      </c>
      <c r="AR8">
        <v>45.109559440684329</v>
      </c>
      <c r="AS8">
        <v>80.099999999999994</v>
      </c>
      <c r="AV8">
        <v>0</v>
      </c>
      <c r="AW8">
        <v>55995754.814814799</v>
      </c>
      <c r="AX8">
        <v>313270088.888888</v>
      </c>
      <c r="AZ8">
        <v>20105.198908516442</v>
      </c>
      <c r="BA8">
        <v>-303828565.55555499</v>
      </c>
      <c r="BB8">
        <v>7.531078346342885</v>
      </c>
    </row>
    <row r="9" spans="1:54" x14ac:dyDescent="0.25">
      <c r="A9">
        <v>7</v>
      </c>
      <c r="B9">
        <v>2022</v>
      </c>
      <c r="C9" t="s">
        <v>54</v>
      </c>
      <c r="D9" t="s">
        <v>69</v>
      </c>
      <c r="E9" t="s">
        <v>70</v>
      </c>
      <c r="F9">
        <v>45407904</v>
      </c>
      <c r="G9">
        <v>0.21080873107265799</v>
      </c>
      <c r="H9">
        <v>2780400</v>
      </c>
      <c r="I9">
        <v>39.200000000000003</v>
      </c>
      <c r="J9">
        <v>539796984147.37128</v>
      </c>
      <c r="K9">
        <v>11890</v>
      </c>
      <c r="L9">
        <v>1328638499395.1321</v>
      </c>
      <c r="M9">
        <v>29260</v>
      </c>
      <c r="N9">
        <v>5.4</v>
      </c>
      <c r="O9">
        <v>75.805999999999997</v>
      </c>
      <c r="P9">
        <v>1.482</v>
      </c>
      <c r="Q9">
        <v>25.766999999999999</v>
      </c>
      <c r="T9">
        <v>9.8000000000000007</v>
      </c>
      <c r="V9">
        <v>85</v>
      </c>
      <c r="W9">
        <v>100.310147105379</v>
      </c>
      <c r="X9">
        <v>114.14811706543</v>
      </c>
      <c r="Z9">
        <v>0.4</v>
      </c>
      <c r="AA9">
        <v>283550</v>
      </c>
      <c r="AB9">
        <v>15.995561522709361</v>
      </c>
      <c r="AC9">
        <v>1808.7602133555297</v>
      </c>
      <c r="AD9">
        <v>2833.1190975033774</v>
      </c>
      <c r="AE9">
        <v>633993756301.07983</v>
      </c>
      <c r="AF9">
        <v>6.0207453753485538</v>
      </c>
      <c r="AG9">
        <v>68.99382676923139</v>
      </c>
      <c r="AH9">
        <v>6.5415694048483672</v>
      </c>
      <c r="AI9">
        <v>24.111863627291051</v>
      </c>
      <c r="AJ9">
        <v>16.281667725325406</v>
      </c>
      <c r="AK9">
        <v>15.298511535300211</v>
      </c>
      <c r="AL9">
        <v>17.385586135842736</v>
      </c>
      <c r="AM9">
        <v>17.89319530626976</v>
      </c>
      <c r="AN9">
        <v>8.3514749906867198</v>
      </c>
      <c r="AO9">
        <v>0.68458640929195602</v>
      </c>
      <c r="AP9">
        <v>131.48400000000001</v>
      </c>
      <c r="AQ9">
        <v>4.7515752433859362</v>
      </c>
      <c r="AR9">
        <v>26.884018699871493</v>
      </c>
      <c r="AS9">
        <v>114.2</v>
      </c>
      <c r="AT9">
        <v>248976650822</v>
      </c>
      <c r="AU9">
        <v>5.4479511682894444</v>
      </c>
      <c r="AV9">
        <v>5589</v>
      </c>
      <c r="AW9">
        <v>584773181.17236602</v>
      </c>
      <c r="AX9">
        <v>15206087397.300301</v>
      </c>
      <c r="AY9">
        <v>8.4863980583610292</v>
      </c>
      <c r="AZ9">
        <v>13962.189408722319</v>
      </c>
      <c r="BA9">
        <v>-13116250814.243601</v>
      </c>
      <c r="BB9">
        <v>72.430757531824042</v>
      </c>
    </row>
    <row r="10" spans="1:54" x14ac:dyDescent="0.25">
      <c r="A10">
        <v>8</v>
      </c>
      <c r="B10">
        <v>2022</v>
      </c>
      <c r="C10" t="s">
        <v>54</v>
      </c>
      <c r="D10" t="s">
        <v>71</v>
      </c>
      <c r="E10" t="s">
        <v>72</v>
      </c>
      <c r="F10">
        <v>2969200</v>
      </c>
      <c r="G10">
        <v>0.23265626274680001</v>
      </c>
      <c r="H10">
        <v>29740</v>
      </c>
      <c r="I10">
        <v>24.8</v>
      </c>
      <c r="J10">
        <v>16893970795.009871</v>
      </c>
      <c r="K10">
        <v>5690</v>
      </c>
      <c r="L10">
        <v>55469244670.446747</v>
      </c>
      <c r="M10">
        <v>18680</v>
      </c>
      <c r="N10">
        <v>9.1999999999999993</v>
      </c>
      <c r="O10">
        <v>74.765853658536599</v>
      </c>
      <c r="P10">
        <v>1.7</v>
      </c>
      <c r="Q10">
        <v>13.487</v>
      </c>
      <c r="T10">
        <v>10.5</v>
      </c>
      <c r="V10">
        <v>95</v>
      </c>
      <c r="W10">
        <v>93.8248282630029</v>
      </c>
      <c r="X10">
        <v>91.710660992296496</v>
      </c>
      <c r="Z10">
        <v>0.3</v>
      </c>
      <c r="AA10">
        <v>3280.5</v>
      </c>
      <c r="AB10">
        <v>4.6306808277988694</v>
      </c>
      <c r="AC10">
        <v>1347.5905574741312</v>
      </c>
      <c r="AD10">
        <v>2403.6777583187391</v>
      </c>
      <c r="AE10">
        <v>19513506553.125072</v>
      </c>
      <c r="AF10">
        <v>12.599999999776628</v>
      </c>
      <c r="AG10">
        <v>7.985878528281745</v>
      </c>
      <c r="AH10">
        <v>10.146703925568268</v>
      </c>
      <c r="AI10">
        <v>25.437096643779356</v>
      </c>
      <c r="AJ10">
        <v>51.570920365649656</v>
      </c>
      <c r="AK10">
        <v>52.307708847858351</v>
      </c>
      <c r="AL10">
        <v>22.255132166051592</v>
      </c>
      <c r="AM10">
        <v>23.456417582865342</v>
      </c>
      <c r="AN10">
        <v>1.2948467222542075</v>
      </c>
      <c r="AO10">
        <v>4.0817459592559402</v>
      </c>
      <c r="AP10">
        <v>130.54</v>
      </c>
      <c r="AQ10">
        <v>21.847528343537292</v>
      </c>
      <c r="AR10">
        <v>72.406258513989386</v>
      </c>
      <c r="AS10">
        <v>98.6</v>
      </c>
      <c r="AT10">
        <v>15931152887.6</v>
      </c>
      <c r="AU10">
        <v>10.463451197525412</v>
      </c>
      <c r="AV10">
        <v>38001</v>
      </c>
      <c r="AW10">
        <v>666339636.10390997</v>
      </c>
      <c r="AX10">
        <v>975658909.26610696</v>
      </c>
      <c r="AY10">
        <v>101.48590182448675</v>
      </c>
      <c r="AZ10">
        <v>6571.974455450988</v>
      </c>
      <c r="BA10">
        <v>-925913971.64840496</v>
      </c>
      <c r="BB10">
        <v>8.6409110897385464</v>
      </c>
    </row>
    <row r="11" spans="1:54" x14ac:dyDescent="0.25">
      <c r="A11">
        <v>9</v>
      </c>
      <c r="B11">
        <v>2022</v>
      </c>
      <c r="C11" t="s">
        <v>54</v>
      </c>
      <c r="D11" t="s">
        <v>73</v>
      </c>
      <c r="E11" t="s">
        <v>74</v>
      </c>
      <c r="F11">
        <v>107310</v>
      </c>
      <c r="G11">
        <v>-0.36277422233068501</v>
      </c>
      <c r="H11">
        <v>180</v>
      </c>
      <c r="J11">
        <v>3236296850.6582241</v>
      </c>
      <c r="K11">
        <v>30160</v>
      </c>
      <c r="L11">
        <v>4313073858.8870916</v>
      </c>
      <c r="M11">
        <v>40190</v>
      </c>
      <c r="O11">
        <v>76.225999999999999</v>
      </c>
      <c r="P11">
        <v>1.615</v>
      </c>
      <c r="Q11">
        <v>18.768000000000001</v>
      </c>
      <c r="W11">
        <v>93.832939147949205</v>
      </c>
      <c r="X11">
        <v>131.802169799805</v>
      </c>
      <c r="AA11">
        <v>4.2</v>
      </c>
      <c r="AE11">
        <v>3324034443.2658105</v>
      </c>
      <c r="AF11">
        <v>10.63643096044143</v>
      </c>
      <c r="AG11">
        <v>4.2890598503455379</v>
      </c>
      <c r="AH11">
        <v>3.4214431533221873E-2</v>
      </c>
      <c r="AI11">
        <v>9.7359173641998051</v>
      </c>
      <c r="AJ11">
        <v>80.806881021255876</v>
      </c>
      <c r="AK11">
        <v>79.827665396758803</v>
      </c>
      <c r="AL11">
        <v>19.808067162356686</v>
      </c>
      <c r="AP11">
        <v>130.648</v>
      </c>
      <c r="AQ11">
        <v>7.1251465446265607</v>
      </c>
      <c r="AR11">
        <v>47.743187595878155</v>
      </c>
      <c r="AS11">
        <v>72.900000000000006</v>
      </c>
      <c r="AV11">
        <v>152</v>
      </c>
      <c r="AW11">
        <v>110361038.271826</v>
      </c>
      <c r="AX11">
        <v>248150282.61661801</v>
      </c>
      <c r="AZ11">
        <v>30975.9989121779</v>
      </c>
      <c r="BA11">
        <v>-124694278.134545</v>
      </c>
    </row>
    <row r="12" spans="1:54" x14ac:dyDescent="0.25">
      <c r="A12">
        <v>10</v>
      </c>
      <c r="B12">
        <v>2022</v>
      </c>
      <c r="C12" t="s">
        <v>54</v>
      </c>
      <c r="D12" t="s">
        <v>75</v>
      </c>
      <c r="E12" t="s">
        <v>76</v>
      </c>
      <c r="F12">
        <v>26018721</v>
      </c>
      <c r="G12">
        <v>1.2893113098553699</v>
      </c>
      <c r="H12">
        <v>7741220</v>
      </c>
      <c r="J12">
        <v>1581764554142.8328</v>
      </c>
      <c r="K12">
        <v>60790</v>
      </c>
      <c r="L12">
        <v>1651138216224.6829</v>
      </c>
      <c r="M12">
        <v>63460</v>
      </c>
      <c r="O12">
        <v>83.2</v>
      </c>
      <c r="P12">
        <v>1.63</v>
      </c>
      <c r="Q12">
        <v>6.7469999999999999</v>
      </c>
      <c r="T12">
        <v>3.7</v>
      </c>
      <c r="V12">
        <v>96</v>
      </c>
      <c r="X12">
        <v>133.277267456055</v>
      </c>
      <c r="Z12">
        <v>0.1</v>
      </c>
      <c r="AA12">
        <v>1340051</v>
      </c>
      <c r="AB12">
        <v>137.03594364022644</v>
      </c>
      <c r="AC12">
        <v>4942.1637220284192</v>
      </c>
      <c r="AD12">
        <v>9923.4316706036388</v>
      </c>
      <c r="AE12">
        <v>1695627535475.8005</v>
      </c>
      <c r="AF12">
        <v>4.2530455923873234</v>
      </c>
      <c r="AG12">
        <v>7.1995443407200952</v>
      </c>
      <c r="AH12">
        <v>2.6724269995061838</v>
      </c>
      <c r="AI12">
        <v>27.401962084845664</v>
      </c>
      <c r="AJ12">
        <v>25.46152983736588</v>
      </c>
      <c r="AK12">
        <v>20.233112043209342</v>
      </c>
      <c r="AL12">
        <v>23.699795712443226</v>
      </c>
      <c r="AM12">
        <v>26.131348255083008</v>
      </c>
      <c r="AN12">
        <v>99.029527114208889</v>
      </c>
      <c r="AO12">
        <v>1.88329708969124</v>
      </c>
      <c r="AP12">
        <v>109.46899999999999</v>
      </c>
      <c r="AQ12">
        <v>25.831870411627161</v>
      </c>
      <c r="AR12">
        <v>42.572557056136716</v>
      </c>
      <c r="AS12">
        <v>181</v>
      </c>
      <c r="AV12">
        <v>140972</v>
      </c>
      <c r="AW12">
        <v>6530528854.3070297</v>
      </c>
      <c r="AX12">
        <v>68709419796.645699</v>
      </c>
      <c r="AZ12">
        <v>65169.519111865666</v>
      </c>
      <c r="BA12">
        <v>58640230943.976105</v>
      </c>
      <c r="BB12">
        <v>6.5940967134184616</v>
      </c>
    </row>
    <row r="13" spans="1:54" x14ac:dyDescent="0.25">
      <c r="A13">
        <v>11</v>
      </c>
      <c r="B13">
        <v>2022</v>
      </c>
      <c r="C13" t="s">
        <v>54</v>
      </c>
      <c r="D13" t="s">
        <v>77</v>
      </c>
      <c r="E13" t="s">
        <v>78</v>
      </c>
      <c r="F13">
        <v>9041851</v>
      </c>
      <c r="G13">
        <v>0.95628779707663403</v>
      </c>
      <c r="H13">
        <v>83879</v>
      </c>
      <c r="J13">
        <v>509176132339.51526</v>
      </c>
      <c r="K13">
        <v>56310</v>
      </c>
      <c r="L13">
        <v>642451358145.94775</v>
      </c>
      <c r="M13">
        <v>71050</v>
      </c>
      <c r="N13">
        <v>7.8</v>
      </c>
      <c r="O13">
        <v>81.2951219512195</v>
      </c>
      <c r="P13">
        <v>1.41</v>
      </c>
      <c r="Q13">
        <v>4.2050000000000001</v>
      </c>
      <c r="T13">
        <v>3.2</v>
      </c>
      <c r="V13">
        <v>95</v>
      </c>
      <c r="W13">
        <v>97.159172058105497</v>
      </c>
      <c r="X13">
        <v>101.458000183105</v>
      </c>
      <c r="AA13">
        <v>38954.5</v>
      </c>
      <c r="AB13">
        <v>136.29704636958485</v>
      </c>
      <c r="AC13">
        <v>3486.7294329376255</v>
      </c>
      <c r="AD13">
        <v>8256.6058653255841</v>
      </c>
      <c r="AE13">
        <v>473221298968.21582</v>
      </c>
      <c r="AF13">
        <v>5.3309637940037078</v>
      </c>
      <c r="AG13">
        <v>5.0234315633327071</v>
      </c>
      <c r="AH13">
        <v>1.3464959645730148</v>
      </c>
      <c r="AI13">
        <v>25.844468387538623</v>
      </c>
      <c r="AJ13">
        <v>61.427312118687318</v>
      </c>
      <c r="AK13">
        <v>62.152266534214597</v>
      </c>
      <c r="AL13">
        <v>29.236794001442679</v>
      </c>
      <c r="AM13">
        <v>44.264983392109805</v>
      </c>
      <c r="AN13">
        <v>26.002210861659584</v>
      </c>
      <c r="AO13">
        <v>0.76670600832677194</v>
      </c>
      <c r="AP13">
        <v>121.166</v>
      </c>
      <c r="AQ13">
        <v>14.914170247260156</v>
      </c>
      <c r="AR13">
        <v>94.131012482157701</v>
      </c>
      <c r="AS13">
        <v>94</v>
      </c>
      <c r="AV13">
        <v>157365</v>
      </c>
      <c r="AW13">
        <v>6949674700.7846498</v>
      </c>
      <c r="AX13">
        <v>14301504457.034599</v>
      </c>
      <c r="AZ13">
        <v>52336.772522375766</v>
      </c>
      <c r="BA13">
        <v>112362400.32462299</v>
      </c>
      <c r="BB13">
        <v>8.5468699318844958</v>
      </c>
    </row>
    <row r="14" spans="1:54" x14ac:dyDescent="0.25">
      <c r="A14">
        <v>12</v>
      </c>
      <c r="B14">
        <v>2022</v>
      </c>
      <c r="C14" t="s">
        <v>54</v>
      </c>
      <c r="D14" t="s">
        <v>79</v>
      </c>
      <c r="E14" t="s">
        <v>80</v>
      </c>
      <c r="F14">
        <v>10141756</v>
      </c>
      <c r="G14">
        <v>3.9507866238038002E-2</v>
      </c>
      <c r="H14">
        <v>86600</v>
      </c>
      <c r="J14">
        <v>57455094615.681267</v>
      </c>
      <c r="K14">
        <v>5670</v>
      </c>
      <c r="L14">
        <v>213379981895.79846</v>
      </c>
      <c r="M14">
        <v>21040</v>
      </c>
      <c r="O14">
        <v>74.125</v>
      </c>
      <c r="P14">
        <v>1.67</v>
      </c>
      <c r="Q14">
        <v>35.292999999999999</v>
      </c>
      <c r="T14">
        <v>19.399999999999999</v>
      </c>
      <c r="V14">
        <v>71</v>
      </c>
      <c r="W14">
        <v>99.703280569503903</v>
      </c>
      <c r="X14">
        <v>90.953036417944205</v>
      </c>
      <c r="Z14">
        <v>0.1</v>
      </c>
      <c r="AA14">
        <v>11548.256000000001</v>
      </c>
      <c r="AB14">
        <v>4.3593787751408923</v>
      </c>
      <c r="AC14">
        <v>1714.0372598283175</v>
      </c>
      <c r="AD14">
        <v>2365.8624798309088</v>
      </c>
      <c r="AE14">
        <v>78807470588.235306</v>
      </c>
      <c r="AF14">
        <v>4.7146803324764903</v>
      </c>
      <c r="AG14">
        <v>37.270721129374721</v>
      </c>
      <c r="AH14">
        <v>4.6122083081105325</v>
      </c>
      <c r="AI14">
        <v>56.146737357685552</v>
      </c>
      <c r="AJ14">
        <v>59.986848066807632</v>
      </c>
      <c r="AK14">
        <v>26.995425187370259</v>
      </c>
      <c r="AL14">
        <v>12.003714189532642</v>
      </c>
      <c r="AM14">
        <v>38.448421208201367</v>
      </c>
      <c r="AN14">
        <v>1.8627421855348139</v>
      </c>
      <c r="AO14">
        <v>3.7953702508048295</v>
      </c>
      <c r="AP14">
        <v>107.506</v>
      </c>
      <c r="AQ14">
        <v>3.9129441620027037</v>
      </c>
      <c r="AR14">
        <v>66.855336945512022</v>
      </c>
      <c r="AS14">
        <v>173.3</v>
      </c>
      <c r="AT14">
        <v>15457490377.200001</v>
      </c>
      <c r="AU14">
        <v>2.1831176909555676</v>
      </c>
      <c r="AV14">
        <v>9086</v>
      </c>
      <c r="AW14">
        <v>811938000</v>
      </c>
      <c r="AX14">
        <v>-4474481000</v>
      </c>
      <c r="AY14">
        <v>4.7819302194441375</v>
      </c>
      <c r="AZ14">
        <v>7770.5942233509959</v>
      </c>
      <c r="BA14">
        <v>4646691000</v>
      </c>
      <c r="BB14">
        <v>13.8522590144267</v>
      </c>
    </row>
    <row r="15" spans="1:54" x14ac:dyDescent="0.25">
      <c r="A15">
        <v>13</v>
      </c>
      <c r="B15">
        <v>2022</v>
      </c>
      <c r="C15" t="s">
        <v>54</v>
      </c>
      <c r="D15" t="s">
        <v>81</v>
      </c>
      <c r="E15" t="s">
        <v>82</v>
      </c>
      <c r="F15">
        <v>397538</v>
      </c>
      <c r="G15">
        <v>0.29348398906333101</v>
      </c>
      <c r="H15">
        <v>13880</v>
      </c>
      <c r="J15">
        <v>13432451488.035147</v>
      </c>
      <c r="K15">
        <v>33790</v>
      </c>
      <c r="L15">
        <v>13834311248.937759</v>
      </c>
      <c r="M15">
        <v>34800</v>
      </c>
      <c r="O15">
        <v>74.491</v>
      </c>
      <c r="P15">
        <v>1.379</v>
      </c>
      <c r="Q15">
        <v>24.678999999999998</v>
      </c>
      <c r="T15">
        <v>12.9</v>
      </c>
      <c r="V15">
        <v>80</v>
      </c>
      <c r="Z15">
        <v>1.2</v>
      </c>
      <c r="AA15">
        <v>5098.6000000000004</v>
      </c>
      <c r="AE15">
        <v>13896800000</v>
      </c>
      <c r="AF15">
        <v>10.877900941026766</v>
      </c>
      <c r="AG15">
        <v>4.1241696628506332</v>
      </c>
      <c r="AH15">
        <v>0.41448390996488405</v>
      </c>
      <c r="AI15">
        <v>9.5043463243336603</v>
      </c>
      <c r="AJ15">
        <v>37.158914282424732</v>
      </c>
      <c r="AK15">
        <v>38.824045823498935</v>
      </c>
      <c r="AL15">
        <v>23.815554660065626</v>
      </c>
      <c r="AM15">
        <v>18.748901754360716</v>
      </c>
      <c r="AP15">
        <v>101.624</v>
      </c>
      <c r="AQ15">
        <v>0</v>
      </c>
      <c r="AR15">
        <v>31.43169650567037</v>
      </c>
      <c r="AS15">
        <v>98.9</v>
      </c>
      <c r="AV15">
        <v>1001</v>
      </c>
      <c r="AW15">
        <v>216507922.47999799</v>
      </c>
      <c r="AX15">
        <v>530913950.39875001</v>
      </c>
      <c r="AZ15">
        <v>34957.161327973678</v>
      </c>
      <c r="BA15">
        <v>-316430192.37875003</v>
      </c>
      <c r="BB15">
        <v>5.6054063358304376</v>
      </c>
    </row>
    <row r="16" spans="1:54" x14ac:dyDescent="0.25">
      <c r="A16">
        <v>14</v>
      </c>
      <c r="B16">
        <v>2022</v>
      </c>
      <c r="C16" t="s">
        <v>54</v>
      </c>
      <c r="D16" t="s">
        <v>83</v>
      </c>
      <c r="E16" t="s">
        <v>84</v>
      </c>
      <c r="F16">
        <v>1524693</v>
      </c>
      <c r="G16">
        <v>1.3422196063754299</v>
      </c>
      <c r="H16">
        <v>790</v>
      </c>
      <c r="J16">
        <v>43142062339.695457</v>
      </c>
      <c r="K16">
        <v>28300</v>
      </c>
      <c r="L16">
        <v>90066506256.571671</v>
      </c>
      <c r="M16">
        <v>59070</v>
      </c>
      <c r="O16">
        <v>80.992000000000004</v>
      </c>
      <c r="P16">
        <v>1.839</v>
      </c>
      <c r="Q16">
        <v>8.1219999999999999</v>
      </c>
      <c r="T16">
        <v>8.4</v>
      </c>
      <c r="V16">
        <v>99</v>
      </c>
      <c r="W16">
        <v>101.04302477183801</v>
      </c>
      <c r="X16">
        <v>103.393222951005</v>
      </c>
      <c r="Z16">
        <v>0.1</v>
      </c>
      <c r="AA16">
        <v>7.4</v>
      </c>
      <c r="AB16">
        <v>248.06393904054843</v>
      </c>
      <c r="AC16">
        <v>10701.792757509216</v>
      </c>
      <c r="AD16">
        <v>22689.15775175724</v>
      </c>
      <c r="AE16">
        <v>46458191489.361702</v>
      </c>
      <c r="AF16">
        <v>6.1801612547518516</v>
      </c>
      <c r="AG16">
        <v>7.1348887990078111</v>
      </c>
      <c r="AH16">
        <v>0.24616046914750622</v>
      </c>
      <c r="AI16">
        <v>46.389627370296331</v>
      </c>
      <c r="AJ16">
        <v>95.961365400600414</v>
      </c>
      <c r="AK16">
        <v>71.179875751934361</v>
      </c>
      <c r="AL16">
        <v>24.590186898767367</v>
      </c>
      <c r="AN16">
        <v>65.138803362437514</v>
      </c>
      <c r="AO16">
        <v>3.4233933454876899</v>
      </c>
      <c r="AP16">
        <v>139.636</v>
      </c>
      <c r="AQ16">
        <v>0.5699591963159788</v>
      </c>
      <c r="AR16">
        <v>98.434739997297953</v>
      </c>
      <c r="AS16">
        <v>138.4</v>
      </c>
      <c r="AV16">
        <v>18975</v>
      </c>
      <c r="AW16">
        <v>2711702127.6595702</v>
      </c>
      <c r="AX16">
        <v>1951329787.23404</v>
      </c>
      <c r="AZ16">
        <v>30470.52192760228</v>
      </c>
      <c r="BA16">
        <v>-3457446.8085108199</v>
      </c>
      <c r="BB16">
        <v>3.6257410430448198</v>
      </c>
    </row>
    <row r="17" spans="1:54" x14ac:dyDescent="0.25">
      <c r="A17">
        <v>15</v>
      </c>
      <c r="B17">
        <v>2022</v>
      </c>
      <c r="C17" t="s">
        <v>54</v>
      </c>
      <c r="D17" t="s">
        <v>85</v>
      </c>
      <c r="E17" t="s">
        <v>86</v>
      </c>
      <c r="F17">
        <v>169384897</v>
      </c>
      <c r="G17">
        <v>1.02423384746683</v>
      </c>
      <c r="H17">
        <v>147570</v>
      </c>
      <c r="I17">
        <v>18.7</v>
      </c>
      <c r="J17">
        <v>483370788278.34064</v>
      </c>
      <c r="K17">
        <v>2850</v>
      </c>
      <c r="L17">
        <v>1488102430377.4719</v>
      </c>
      <c r="M17">
        <v>8790</v>
      </c>
      <c r="N17">
        <v>8.8000000000000007</v>
      </c>
      <c r="O17">
        <v>74.265000000000001</v>
      </c>
      <c r="P17">
        <v>2.1789999999999998</v>
      </c>
      <c r="Q17">
        <v>73.128</v>
      </c>
      <c r="R17">
        <v>64</v>
      </c>
      <c r="T17">
        <v>30.7</v>
      </c>
      <c r="U17">
        <v>21.7</v>
      </c>
      <c r="V17">
        <v>96</v>
      </c>
      <c r="W17">
        <v>96.616371344578297</v>
      </c>
      <c r="X17">
        <v>67.0384586440383</v>
      </c>
      <c r="Z17">
        <v>0.1</v>
      </c>
      <c r="AA17">
        <v>18834</v>
      </c>
      <c r="AB17">
        <v>8.5204775063928277</v>
      </c>
      <c r="AC17">
        <v>297.11835634270568</v>
      </c>
      <c r="AD17">
        <v>602.67474732413712</v>
      </c>
      <c r="AE17">
        <v>460131689083.0827</v>
      </c>
      <c r="AF17">
        <v>7.0998287757515754</v>
      </c>
      <c r="AG17">
        <v>5.0490218788313115</v>
      </c>
      <c r="AH17">
        <v>11.217601035159509</v>
      </c>
      <c r="AI17">
        <v>33.920080497187563</v>
      </c>
      <c r="AJ17">
        <v>12.882226434898525</v>
      </c>
      <c r="AK17">
        <v>20.897740835674973</v>
      </c>
      <c r="AL17">
        <v>32.047275580905023</v>
      </c>
      <c r="AN17">
        <v>25.04288505528114</v>
      </c>
      <c r="AO17">
        <v>0.99098339448405703</v>
      </c>
      <c r="AP17">
        <v>109.867</v>
      </c>
      <c r="AR17">
        <v>30.347616413523387</v>
      </c>
      <c r="AS17">
        <v>73.900000000000006</v>
      </c>
      <c r="AT17">
        <v>96944431751</v>
      </c>
      <c r="AU17">
        <v>1.4213358197915209</v>
      </c>
      <c r="AV17">
        <v>-549990</v>
      </c>
      <c r="AW17">
        <v>135240485.62523699</v>
      </c>
      <c r="AX17">
        <v>1634888030.42697</v>
      </c>
      <c r="AY17">
        <v>30.727603726012834</v>
      </c>
      <c r="AZ17">
        <v>2716.4859278043114</v>
      </c>
      <c r="BA17">
        <v>-1603289892.5586901</v>
      </c>
      <c r="BB17">
        <v>7.6969543717689817</v>
      </c>
    </row>
    <row r="18" spans="1:54" x14ac:dyDescent="0.25">
      <c r="A18">
        <v>16</v>
      </c>
      <c r="B18">
        <v>2022</v>
      </c>
      <c r="C18" t="s">
        <v>54</v>
      </c>
      <c r="D18" t="s">
        <v>87</v>
      </c>
      <c r="E18" t="s">
        <v>88</v>
      </c>
      <c r="F18">
        <v>282318</v>
      </c>
      <c r="G18">
        <v>6.0588346569258801E-2</v>
      </c>
      <c r="H18">
        <v>430</v>
      </c>
      <c r="J18">
        <v>6859993857.4386349</v>
      </c>
      <c r="K18">
        <v>24300</v>
      </c>
      <c r="L18">
        <v>6114486487.2554989</v>
      </c>
      <c r="M18">
        <v>21660</v>
      </c>
      <c r="O18">
        <v>75.676000000000002</v>
      </c>
      <c r="P18">
        <v>1.712</v>
      </c>
      <c r="Q18">
        <v>45.847999999999999</v>
      </c>
      <c r="T18">
        <v>10.4</v>
      </c>
      <c r="V18">
        <v>85</v>
      </c>
      <c r="W18">
        <v>87.064382752510298</v>
      </c>
      <c r="X18">
        <v>104.222328186035</v>
      </c>
      <c r="Z18">
        <v>1.1000000000000001</v>
      </c>
      <c r="AA18">
        <v>63</v>
      </c>
      <c r="AB18">
        <v>82.569744715465603</v>
      </c>
      <c r="AE18">
        <v>6884900000</v>
      </c>
      <c r="AF18">
        <v>17.226462679337942</v>
      </c>
      <c r="AG18">
        <v>-1.2507343562653972</v>
      </c>
      <c r="AH18">
        <v>1.4488227860971112</v>
      </c>
      <c r="AI18">
        <v>12.813548490174147</v>
      </c>
      <c r="AP18">
        <v>114.581</v>
      </c>
      <c r="AQ18">
        <v>17.011739306168195</v>
      </c>
      <c r="AR18">
        <v>38.47550436462403</v>
      </c>
      <c r="AS18">
        <v>92.6</v>
      </c>
      <c r="AV18">
        <v>-80</v>
      </c>
      <c r="AX18">
        <v>200000000</v>
      </c>
      <c r="AZ18">
        <v>24387.038729376094</v>
      </c>
    </row>
    <row r="19" spans="1:54" x14ac:dyDescent="0.25">
      <c r="A19">
        <v>17</v>
      </c>
      <c r="B19">
        <v>2022</v>
      </c>
      <c r="C19" t="s">
        <v>54</v>
      </c>
      <c r="D19" t="s">
        <v>89</v>
      </c>
      <c r="E19" t="s">
        <v>90</v>
      </c>
      <c r="F19">
        <v>9228071</v>
      </c>
      <c r="G19">
        <v>-0.80422842688024399</v>
      </c>
      <c r="H19">
        <v>207630</v>
      </c>
      <c r="I19">
        <v>3.9</v>
      </c>
      <c r="J19">
        <v>66525038944.719406</v>
      </c>
      <c r="K19">
        <v>7210</v>
      </c>
      <c r="L19">
        <v>251336575106.96036</v>
      </c>
      <c r="M19">
        <v>27240</v>
      </c>
      <c r="O19">
        <v>74.103365853658545</v>
      </c>
      <c r="P19">
        <v>1.3260000000000001</v>
      </c>
      <c r="Q19">
        <v>9.9030000000000005</v>
      </c>
      <c r="T19">
        <v>2.6</v>
      </c>
      <c r="V19">
        <v>98</v>
      </c>
      <c r="W19">
        <v>94.224471823459496</v>
      </c>
      <c r="X19">
        <v>99.060203288173696</v>
      </c>
      <c r="AA19">
        <v>87966</v>
      </c>
      <c r="AB19">
        <v>40.505743773498125</v>
      </c>
      <c r="AC19">
        <v>2862.4870345370555</v>
      </c>
      <c r="AD19">
        <v>3902.7658109695949</v>
      </c>
      <c r="AE19">
        <v>73775179924.603027</v>
      </c>
      <c r="AF19">
        <v>-4.6583959132899935</v>
      </c>
      <c r="AG19">
        <v>14.884862363536683</v>
      </c>
      <c r="AH19">
        <v>8.0418187167403907</v>
      </c>
      <c r="AI19">
        <v>33.029095545083386</v>
      </c>
      <c r="AJ19">
        <v>63.051186893842811</v>
      </c>
      <c r="AK19">
        <v>56.97302068225104</v>
      </c>
      <c r="AL19">
        <v>21.597906483397939</v>
      </c>
      <c r="AM19">
        <v>26.072571588357651</v>
      </c>
      <c r="AN19">
        <v>3.3840784970656701</v>
      </c>
      <c r="AO19">
        <v>1.64869313490861</v>
      </c>
      <c r="AP19">
        <v>128.315</v>
      </c>
      <c r="AR19">
        <v>103.73542982641774</v>
      </c>
      <c r="AS19">
        <v>105.9</v>
      </c>
      <c r="AT19">
        <v>39858867169.400002</v>
      </c>
      <c r="AU19">
        <v>9.634036117063518</v>
      </c>
      <c r="AV19">
        <v>-8000</v>
      </c>
      <c r="AW19">
        <v>164657870.37</v>
      </c>
      <c r="AX19">
        <v>1606417743.3800001</v>
      </c>
      <c r="AY19">
        <v>1.9016402724692627</v>
      </c>
      <c r="AZ19">
        <v>7994.6480607488857</v>
      </c>
      <c r="BA19">
        <v>-1426218875.8299999</v>
      </c>
      <c r="BB19">
        <v>15.20967527408096</v>
      </c>
    </row>
    <row r="20" spans="1:54" x14ac:dyDescent="0.25">
      <c r="A20">
        <v>18</v>
      </c>
      <c r="B20">
        <v>2022</v>
      </c>
      <c r="C20" t="s">
        <v>54</v>
      </c>
      <c r="D20" t="s">
        <v>91</v>
      </c>
      <c r="E20" t="s">
        <v>92</v>
      </c>
      <c r="F20">
        <v>11680210</v>
      </c>
      <c r="G20">
        <v>0.80816535000186096</v>
      </c>
      <c r="H20">
        <v>30689</v>
      </c>
      <c r="I20">
        <v>12.3</v>
      </c>
      <c r="J20">
        <v>634617780052.06445</v>
      </c>
      <c r="K20">
        <v>54330</v>
      </c>
      <c r="L20">
        <v>805380374301.64709</v>
      </c>
      <c r="M20">
        <v>68950</v>
      </c>
      <c r="N20">
        <v>9.4</v>
      </c>
      <c r="O20">
        <v>81.748780487804893</v>
      </c>
      <c r="P20">
        <v>1.53</v>
      </c>
      <c r="Q20">
        <v>4.3719999999999999</v>
      </c>
      <c r="T20">
        <v>3.7</v>
      </c>
      <c r="V20">
        <v>96</v>
      </c>
      <c r="X20">
        <v>142.91807556152301</v>
      </c>
      <c r="Z20">
        <v>0.2</v>
      </c>
      <c r="AA20">
        <v>6893</v>
      </c>
      <c r="AB20">
        <v>120.84015051725737</v>
      </c>
      <c r="AC20">
        <v>4368.4456256742733</v>
      </c>
      <c r="AD20">
        <v>7282.7457725503227</v>
      </c>
      <c r="AE20">
        <v>591085783326.26685</v>
      </c>
      <c r="AF20">
        <v>3.9562379757933002</v>
      </c>
      <c r="AG20">
        <v>6.6990376118661032</v>
      </c>
      <c r="AH20">
        <v>0.67143041151479643</v>
      </c>
      <c r="AI20">
        <v>20.002116480919334</v>
      </c>
      <c r="AJ20">
        <v>94.421344674440519</v>
      </c>
      <c r="AK20">
        <v>96.757686629345557</v>
      </c>
      <c r="AL20">
        <v>27.286480835603772</v>
      </c>
      <c r="AM20">
        <v>37.284946921402131</v>
      </c>
      <c r="AO20">
        <v>1.1624655128724701</v>
      </c>
      <c r="AP20">
        <v>101.68</v>
      </c>
      <c r="AQ20">
        <v>22.817913517326545</v>
      </c>
      <c r="AR20">
        <v>209.82775004679849</v>
      </c>
      <c r="AS20">
        <v>97.1</v>
      </c>
      <c r="AV20">
        <v>118615</v>
      </c>
      <c r="AW20">
        <v>8009404879.7483902</v>
      </c>
      <c r="AX20">
        <v>13136474102.1507</v>
      </c>
      <c r="AZ20">
        <v>50605.749667708616</v>
      </c>
      <c r="BA20">
        <v>21118313600.595497</v>
      </c>
      <c r="BB20">
        <v>9.5975117287249994</v>
      </c>
    </row>
    <row r="21" spans="1:54" x14ac:dyDescent="0.25">
      <c r="A21">
        <v>19</v>
      </c>
      <c r="B21">
        <v>2022</v>
      </c>
      <c r="C21" t="s">
        <v>54</v>
      </c>
      <c r="D21" t="s">
        <v>93</v>
      </c>
      <c r="E21" t="s">
        <v>94</v>
      </c>
      <c r="F21">
        <v>402733</v>
      </c>
      <c r="G21">
        <v>1.85124805102003</v>
      </c>
      <c r="H21">
        <v>22970</v>
      </c>
      <c r="J21">
        <v>2702036317.4592624</v>
      </c>
      <c r="K21">
        <v>6710</v>
      </c>
      <c r="L21">
        <v>5166203147.3095665</v>
      </c>
      <c r="M21">
        <v>12830</v>
      </c>
      <c r="O21">
        <v>72.19</v>
      </c>
      <c r="P21">
        <v>1.9490000000000001</v>
      </c>
      <c r="Q21">
        <v>53.404000000000003</v>
      </c>
      <c r="T21">
        <v>12.8</v>
      </c>
      <c r="V21">
        <v>81</v>
      </c>
      <c r="W21">
        <v>108.684100125857</v>
      </c>
      <c r="X21">
        <v>87.438166855216195</v>
      </c>
      <c r="Z21">
        <v>1.2</v>
      </c>
      <c r="AA21">
        <v>12547.3</v>
      </c>
      <c r="AB21">
        <v>24.971682494922934</v>
      </c>
      <c r="AE21">
        <v>2846604350</v>
      </c>
      <c r="AF21">
        <v>9.2505132953099434</v>
      </c>
      <c r="AG21">
        <v>7.2868549112327514</v>
      </c>
      <c r="AH21">
        <v>7.7485812174775885</v>
      </c>
      <c r="AI21">
        <v>15.486833874411806</v>
      </c>
      <c r="AJ21">
        <v>52.578787424392146</v>
      </c>
      <c r="AK21">
        <v>55.261462661644565</v>
      </c>
      <c r="AL21">
        <v>20.19191743313397</v>
      </c>
      <c r="AO21">
        <v>0.97917378589756809</v>
      </c>
      <c r="AP21">
        <v>67.174999999999997</v>
      </c>
      <c r="AQ21">
        <v>1.8155445213167352E-4</v>
      </c>
      <c r="AR21">
        <v>66.71106225211804</v>
      </c>
      <c r="AS21">
        <v>82.5</v>
      </c>
      <c r="AT21">
        <v>1471192939.9000001</v>
      </c>
      <c r="AU21">
        <v>2.8338486376872805</v>
      </c>
      <c r="AV21">
        <v>5936</v>
      </c>
      <c r="AW21">
        <v>41395472.382964298</v>
      </c>
      <c r="AX21">
        <v>140907967.62059301</v>
      </c>
      <c r="AY21">
        <v>52.17579552108419</v>
      </c>
      <c r="AZ21">
        <v>7068.2172804314523</v>
      </c>
      <c r="BA21">
        <v>-139707558.83059299</v>
      </c>
      <c r="BB21">
        <v>6.2768931944754369</v>
      </c>
    </row>
    <row r="22" spans="1:54" x14ac:dyDescent="0.25">
      <c r="A22">
        <v>20</v>
      </c>
      <c r="B22">
        <v>2022</v>
      </c>
      <c r="C22" t="s">
        <v>54</v>
      </c>
      <c r="D22" t="s">
        <v>95</v>
      </c>
      <c r="E22" t="s">
        <v>96</v>
      </c>
      <c r="F22">
        <v>13759501</v>
      </c>
      <c r="G22">
        <v>2.5474092634266698</v>
      </c>
      <c r="H22">
        <v>114760</v>
      </c>
      <c r="J22">
        <v>18679223213.921284</v>
      </c>
      <c r="K22">
        <v>1360</v>
      </c>
      <c r="L22">
        <v>52513064087.869255</v>
      </c>
      <c r="M22">
        <v>3820</v>
      </c>
      <c r="O22">
        <v>60.475000000000001</v>
      </c>
      <c r="P22">
        <v>4.6340000000000003</v>
      </c>
      <c r="Q22">
        <v>78.86</v>
      </c>
      <c r="R22">
        <v>22.4</v>
      </c>
      <c r="T22">
        <v>80.400000000000006</v>
      </c>
      <c r="V22">
        <v>52</v>
      </c>
      <c r="W22">
        <v>61.641750335693402</v>
      </c>
      <c r="X22">
        <v>43.5606498718262</v>
      </c>
      <c r="Z22">
        <v>0.7</v>
      </c>
      <c r="AA22">
        <v>30351.5</v>
      </c>
      <c r="AB22">
        <v>128.96851088303785</v>
      </c>
      <c r="AC22">
        <v>375.82098364933654</v>
      </c>
      <c r="AD22">
        <v>105.30905154191275</v>
      </c>
      <c r="AE22">
        <v>17425405090.862</v>
      </c>
      <c r="AF22">
        <v>6.2529470537362499</v>
      </c>
      <c r="AG22">
        <v>4.1389944787536734</v>
      </c>
      <c r="AH22">
        <v>26.896678796812385</v>
      </c>
      <c r="AI22">
        <v>17.017826707817036</v>
      </c>
      <c r="AJ22">
        <v>20.815330047445759</v>
      </c>
      <c r="AK22">
        <v>23.566262840296652</v>
      </c>
      <c r="AL22">
        <v>31.148371643097335</v>
      </c>
      <c r="AO22">
        <v>0.632087491743063</v>
      </c>
      <c r="AP22">
        <v>105.745</v>
      </c>
      <c r="AQ22">
        <v>4.2871562062152089</v>
      </c>
      <c r="AR22">
        <v>49.542607216214471</v>
      </c>
      <c r="AS22">
        <v>113</v>
      </c>
      <c r="AT22">
        <v>10927329920.1</v>
      </c>
      <c r="AU22">
        <v>2.9869891720546367</v>
      </c>
      <c r="AV22">
        <v>-192</v>
      </c>
      <c r="AW22">
        <v>102731291.45669401</v>
      </c>
      <c r="AX22">
        <v>375988902.22379303</v>
      </c>
      <c r="AY22">
        <v>61.663056011942224</v>
      </c>
      <c r="AZ22">
        <v>1266.4271103190442</v>
      </c>
      <c r="BA22">
        <v>-329419204.12498802</v>
      </c>
      <c r="BB22">
        <v>1.350778635835274</v>
      </c>
    </row>
    <row r="23" spans="1:54" x14ac:dyDescent="0.25">
      <c r="A23">
        <v>21</v>
      </c>
      <c r="B23">
        <v>2022</v>
      </c>
      <c r="C23" t="s">
        <v>54</v>
      </c>
      <c r="D23" t="s">
        <v>97</v>
      </c>
      <c r="E23" t="s">
        <v>98</v>
      </c>
      <c r="F23">
        <v>64749</v>
      </c>
      <c r="G23">
        <v>0.15610875137966701</v>
      </c>
      <c r="H23">
        <v>4290</v>
      </c>
      <c r="J23">
        <v>8559624501.9311781</v>
      </c>
      <c r="K23">
        <v>132200</v>
      </c>
      <c r="L23">
        <v>7174056726.8696709</v>
      </c>
      <c r="M23">
        <v>110800</v>
      </c>
      <c r="O23">
        <v>82.061999999999998</v>
      </c>
      <c r="P23">
        <v>1.397</v>
      </c>
      <c r="Q23">
        <v>1.6140000000000001</v>
      </c>
      <c r="AA23">
        <v>10</v>
      </c>
      <c r="AE23">
        <v>7874381000</v>
      </c>
      <c r="AF23">
        <v>6.4762257118670732</v>
      </c>
      <c r="AG23">
        <v>1.4457934854470693</v>
      </c>
      <c r="AH23">
        <v>0.21854416239193911</v>
      </c>
      <c r="AI23">
        <v>5.3259043472750429</v>
      </c>
      <c r="AJ23">
        <v>50.298848887296664</v>
      </c>
      <c r="AK23">
        <v>24.898376139026038</v>
      </c>
      <c r="AL23">
        <v>12.536566366295968</v>
      </c>
      <c r="AN23">
        <v>2.6287780588721832</v>
      </c>
      <c r="AP23">
        <v>105.274</v>
      </c>
      <c r="AQ23">
        <v>12.540290834702713</v>
      </c>
      <c r="AR23">
        <v>15.569477778634283</v>
      </c>
      <c r="AS23">
        <v>127.4</v>
      </c>
      <c r="AV23">
        <v>0</v>
      </c>
      <c r="AW23">
        <v>171910319.14336699</v>
      </c>
      <c r="AX23">
        <v>5893778.6383343004</v>
      </c>
      <c r="AZ23">
        <v>121613.9399836291</v>
      </c>
      <c r="BA23">
        <v>14707318.361665701</v>
      </c>
    </row>
    <row r="24" spans="1:54" x14ac:dyDescent="0.25">
      <c r="A24">
        <v>22</v>
      </c>
      <c r="B24">
        <v>2022</v>
      </c>
      <c r="C24" t="s">
        <v>54</v>
      </c>
      <c r="D24" t="s">
        <v>99</v>
      </c>
      <c r="E24" t="s">
        <v>100</v>
      </c>
      <c r="F24">
        <v>780914</v>
      </c>
      <c r="G24">
        <v>0.70318391778036704</v>
      </c>
      <c r="H24">
        <v>38390</v>
      </c>
      <c r="I24">
        <v>12.4</v>
      </c>
      <c r="J24">
        <v>2810795223.1308169</v>
      </c>
      <c r="K24">
        <v>3600</v>
      </c>
      <c r="L24">
        <v>11152433318.605757</v>
      </c>
      <c r="M24">
        <v>14280</v>
      </c>
      <c r="N24">
        <v>8.8000000000000007</v>
      </c>
      <c r="O24">
        <v>72.754000000000005</v>
      </c>
      <c r="P24">
        <v>1.478</v>
      </c>
      <c r="Q24">
        <v>9.3879999999999999</v>
      </c>
      <c r="T24">
        <v>23.9</v>
      </c>
      <c r="V24">
        <v>97</v>
      </c>
      <c r="X24">
        <v>89.982912940745507</v>
      </c>
      <c r="Z24">
        <v>0.2</v>
      </c>
      <c r="AA24">
        <v>27290</v>
      </c>
      <c r="AB24">
        <v>7.7415018383719216</v>
      </c>
      <c r="AE24">
        <v>2898227743.7557607</v>
      </c>
      <c r="AF24">
        <v>5.2138678378622387</v>
      </c>
      <c r="AG24">
        <v>5.7948551697978274</v>
      </c>
      <c r="AH24">
        <v>14.671011956090444</v>
      </c>
      <c r="AI24">
        <v>31.824844738080181</v>
      </c>
      <c r="AJ24">
        <v>25.498839958787627</v>
      </c>
      <c r="AK24">
        <v>60.072376563826268</v>
      </c>
      <c r="AL24">
        <v>55.778829294037777</v>
      </c>
      <c r="AP24">
        <v>95.129800000000003</v>
      </c>
      <c r="AQ24">
        <v>1.2217993986519864E-2</v>
      </c>
      <c r="AR24">
        <v>77.116092923177391</v>
      </c>
      <c r="AS24">
        <v>175.1</v>
      </c>
      <c r="AT24">
        <v>3160243054.4000001</v>
      </c>
      <c r="AU24">
        <v>4.8076292239382399</v>
      </c>
      <c r="AV24">
        <v>291</v>
      </c>
      <c r="AW24">
        <v>33684108.316066802</v>
      </c>
      <c r="AX24">
        <v>8402097.1456273198</v>
      </c>
      <c r="AY24">
        <v>249.96492679071449</v>
      </c>
      <c r="AZ24">
        <v>3711.3276798159091</v>
      </c>
      <c r="BA24">
        <v>-8402097.1456273198</v>
      </c>
      <c r="BB24">
        <v>5.6391667139637018</v>
      </c>
    </row>
    <row r="25" spans="1:54" x14ac:dyDescent="0.25">
      <c r="A25">
        <v>23</v>
      </c>
      <c r="B25">
        <v>2022</v>
      </c>
      <c r="C25" t="s">
        <v>54</v>
      </c>
      <c r="D25" t="s">
        <v>101</v>
      </c>
      <c r="E25" t="s">
        <v>102</v>
      </c>
      <c r="F25">
        <v>12077154</v>
      </c>
      <c r="G25">
        <v>1.1642590733688201</v>
      </c>
      <c r="H25">
        <v>1098580</v>
      </c>
      <c r="I25">
        <v>37.700000000000003</v>
      </c>
      <c r="J25">
        <v>50617292052.353073</v>
      </c>
      <c r="K25">
        <v>4190</v>
      </c>
      <c r="L25">
        <v>144944483166.17023</v>
      </c>
      <c r="M25">
        <v>12000</v>
      </c>
      <c r="N25">
        <v>5.0999999999999996</v>
      </c>
      <c r="O25">
        <v>67.433999999999997</v>
      </c>
      <c r="P25">
        <v>2.5840000000000001</v>
      </c>
      <c r="Q25">
        <v>65.760000000000005</v>
      </c>
      <c r="T25">
        <v>23.9</v>
      </c>
      <c r="V25">
        <v>69</v>
      </c>
      <c r="W25">
        <v>96.544110752129001</v>
      </c>
      <c r="X25">
        <v>90.372933817681599</v>
      </c>
      <c r="Z25">
        <v>0.4</v>
      </c>
      <c r="AA25">
        <v>504164.44399999996</v>
      </c>
      <c r="AB25">
        <v>103.57855332570642</v>
      </c>
      <c r="AC25">
        <v>798.2932200523145</v>
      </c>
      <c r="AD25">
        <v>859.30840991180537</v>
      </c>
      <c r="AE25">
        <v>50959081953.6903</v>
      </c>
      <c r="AF25">
        <v>3.7474178124146107</v>
      </c>
      <c r="AG25">
        <v>2.5910027508160312</v>
      </c>
      <c r="AH25">
        <v>8.6602848130617716</v>
      </c>
      <c r="AI25">
        <v>32.019272261032292</v>
      </c>
      <c r="AJ25">
        <v>27.793991504201543</v>
      </c>
      <c r="AK25">
        <v>29.730942074761511</v>
      </c>
      <c r="AL25">
        <v>18.040801574836795</v>
      </c>
      <c r="AO25">
        <v>0.97325088847621899</v>
      </c>
      <c r="AP25">
        <v>101.572</v>
      </c>
      <c r="AQ25">
        <v>5.5176974871828692</v>
      </c>
      <c r="AR25">
        <v>50.668102740673874</v>
      </c>
      <c r="AS25">
        <v>80.900000000000006</v>
      </c>
      <c r="AT25">
        <v>15930334885.1</v>
      </c>
      <c r="AU25">
        <v>4.8399269134129117</v>
      </c>
      <c r="AV25">
        <v>-3008</v>
      </c>
      <c r="AW25">
        <v>319306430.893004</v>
      </c>
      <c r="AX25">
        <v>6236980.0828294</v>
      </c>
      <c r="AY25">
        <v>27.799162926010222</v>
      </c>
      <c r="AZ25">
        <v>4219.4611374244541</v>
      </c>
      <c r="BA25">
        <v>-87031312.655073613</v>
      </c>
      <c r="BB25">
        <v>1.7463287294596861</v>
      </c>
    </row>
    <row r="26" spans="1:54" x14ac:dyDescent="0.25">
      <c r="A26">
        <v>24</v>
      </c>
      <c r="B26">
        <v>2022</v>
      </c>
      <c r="C26" t="s">
        <v>54</v>
      </c>
      <c r="D26" t="s">
        <v>103</v>
      </c>
      <c r="E26" t="s">
        <v>104</v>
      </c>
      <c r="F26">
        <v>3204802</v>
      </c>
      <c r="G26">
        <v>-1.2436380276119401</v>
      </c>
      <c r="H26">
        <v>51210</v>
      </c>
      <c r="J26">
        <v>24693150146.725681</v>
      </c>
      <c r="K26">
        <v>7710</v>
      </c>
      <c r="L26">
        <v>66788549060.434219</v>
      </c>
      <c r="M26">
        <v>20840</v>
      </c>
      <c r="O26">
        <v>76.777000000000001</v>
      </c>
      <c r="P26">
        <v>1.4810000000000001</v>
      </c>
      <c r="Q26">
        <v>11.089</v>
      </c>
      <c r="T26">
        <v>6.2</v>
      </c>
      <c r="V26">
        <v>58</v>
      </c>
      <c r="W26">
        <v>100.880813598633</v>
      </c>
      <c r="X26">
        <v>87.037399291992202</v>
      </c>
      <c r="AA26">
        <v>21879.1</v>
      </c>
      <c r="AB26">
        <v>64.984061568178106</v>
      </c>
      <c r="AC26">
        <v>2270.7263762989601</v>
      </c>
      <c r="AD26">
        <v>3773.0880098052858</v>
      </c>
      <c r="AE26">
        <v>24534663636.177841</v>
      </c>
      <c r="AF26">
        <v>4.2268133339032516</v>
      </c>
      <c r="AG26">
        <v>11.808838185719651</v>
      </c>
      <c r="AH26">
        <v>4.826249270626831</v>
      </c>
      <c r="AI26">
        <v>24.663248259927926</v>
      </c>
      <c r="AJ26">
        <v>48.307127341003451</v>
      </c>
      <c r="AK26">
        <v>61.89815703638336</v>
      </c>
      <c r="AL26">
        <v>27.90266802502121</v>
      </c>
      <c r="AM26">
        <v>35.874435283747374</v>
      </c>
      <c r="AO26">
        <v>0.75202873074921794</v>
      </c>
      <c r="AP26">
        <v>118.944</v>
      </c>
      <c r="AQ26">
        <v>5.2247491776010362</v>
      </c>
      <c r="AR26">
        <v>102.10044193580165</v>
      </c>
      <c r="AS26">
        <v>108.4</v>
      </c>
      <c r="AT26">
        <v>13439997978.9</v>
      </c>
      <c r="AU26">
        <v>4.1156869026448941</v>
      </c>
      <c r="AV26">
        <v>-485</v>
      </c>
      <c r="AW26">
        <v>107867530.396403</v>
      </c>
      <c r="AX26">
        <v>929439990.79635704</v>
      </c>
      <c r="AY26">
        <v>88.949333669102188</v>
      </c>
      <c r="AZ26">
        <v>7655.5942102438285</v>
      </c>
      <c r="BA26">
        <v>-848752904.05401194</v>
      </c>
      <c r="BB26">
        <v>14.020844082677099</v>
      </c>
    </row>
    <row r="27" spans="1:54" x14ac:dyDescent="0.25">
      <c r="A27">
        <v>25</v>
      </c>
      <c r="B27">
        <v>2022</v>
      </c>
      <c r="C27" t="s">
        <v>54</v>
      </c>
      <c r="D27" t="s">
        <v>105</v>
      </c>
      <c r="E27" t="s">
        <v>106</v>
      </c>
      <c r="F27">
        <v>2439892</v>
      </c>
      <c r="G27">
        <v>1.5884802187826901</v>
      </c>
      <c r="H27">
        <v>581730</v>
      </c>
      <c r="J27">
        <v>20124230777.604481</v>
      </c>
      <c r="K27">
        <v>8250</v>
      </c>
      <c r="L27">
        <v>48822957868.502533</v>
      </c>
      <c r="M27">
        <v>20010</v>
      </c>
      <c r="O27">
        <v>68.748999999999995</v>
      </c>
      <c r="P27">
        <v>2.7850000000000001</v>
      </c>
      <c r="Q27">
        <v>54.585000000000001</v>
      </c>
      <c r="T27">
        <v>40.700000000000003</v>
      </c>
      <c r="V27">
        <v>90</v>
      </c>
      <c r="W27">
        <v>101.532181974812</v>
      </c>
      <c r="Z27">
        <v>17.399999999999999</v>
      </c>
      <c r="AA27">
        <v>150181</v>
      </c>
      <c r="AB27">
        <v>81.913896648629247</v>
      </c>
      <c r="AC27">
        <v>1165.1496869612097</v>
      </c>
      <c r="AD27">
        <v>1522.198523541206</v>
      </c>
      <c r="AE27">
        <v>20321150599.152321</v>
      </c>
      <c r="AF27">
        <v>5.4860170644677169</v>
      </c>
      <c r="AG27">
        <v>14.617676724187589</v>
      </c>
      <c r="AH27">
        <v>1.579789821793665</v>
      </c>
      <c r="AI27">
        <v>37.457129711917759</v>
      </c>
      <c r="AJ27">
        <v>43.543611776361104</v>
      </c>
      <c r="AK27">
        <v>42.068095977982075</v>
      </c>
      <c r="AL27">
        <v>26.791517866856001</v>
      </c>
      <c r="AM27">
        <v>29.45723824970397</v>
      </c>
      <c r="AN27">
        <v>152.67334321755473</v>
      </c>
      <c r="AO27">
        <v>2.5177828566948599</v>
      </c>
      <c r="AP27">
        <v>178.20500000000001</v>
      </c>
      <c r="AQ27">
        <v>0.50238129409324339</v>
      </c>
      <c r="AR27">
        <v>81.058402277118674</v>
      </c>
      <c r="AS27">
        <v>77.3</v>
      </c>
      <c r="AT27">
        <v>2002717072.9000001</v>
      </c>
      <c r="AU27">
        <v>0.86873765054336116</v>
      </c>
      <c r="AV27">
        <v>-7306</v>
      </c>
      <c r="AW27">
        <v>211834421.023256</v>
      </c>
      <c r="AX27">
        <v>709624140.35923505</v>
      </c>
      <c r="AY27">
        <v>37.196501889303008</v>
      </c>
      <c r="AZ27">
        <v>8328.7090572666002</v>
      </c>
      <c r="BA27">
        <v>-699506126.122522</v>
      </c>
      <c r="BB27">
        <v>11.66556747880202</v>
      </c>
    </row>
    <row r="28" spans="1:54" x14ac:dyDescent="0.25">
      <c r="A28">
        <v>26</v>
      </c>
      <c r="B28">
        <v>2022</v>
      </c>
      <c r="C28" t="s">
        <v>54</v>
      </c>
      <c r="D28" t="s">
        <v>107</v>
      </c>
      <c r="E28" t="s">
        <v>108</v>
      </c>
      <c r="F28">
        <v>210306415</v>
      </c>
      <c r="G28">
        <v>0.36018089087216898</v>
      </c>
      <c r="H28">
        <v>8510420</v>
      </c>
      <c r="J28">
        <v>1774306739965.406</v>
      </c>
      <c r="K28">
        <v>8440</v>
      </c>
      <c r="L28">
        <v>4059062517998.0942</v>
      </c>
      <c r="M28">
        <v>19300</v>
      </c>
      <c r="N28">
        <v>3.6</v>
      </c>
      <c r="O28">
        <v>74.872</v>
      </c>
      <c r="P28">
        <v>1.629</v>
      </c>
      <c r="Q28">
        <v>42.881</v>
      </c>
      <c r="T28">
        <v>14.6</v>
      </c>
      <c r="V28">
        <v>81</v>
      </c>
      <c r="X28">
        <v>106.03118896484401</v>
      </c>
      <c r="Z28">
        <v>0.7</v>
      </c>
      <c r="AA28">
        <v>4941960</v>
      </c>
      <c r="AB28">
        <v>27.958568722869146</v>
      </c>
      <c r="AC28">
        <v>1432.727411329193</v>
      </c>
      <c r="AD28">
        <v>2787.7608964044202</v>
      </c>
      <c r="AE28">
        <v>1951923832083.8743</v>
      </c>
      <c r="AF28">
        <v>3.0166943540811246</v>
      </c>
      <c r="AG28">
        <v>8.5702819614254793</v>
      </c>
      <c r="AH28">
        <v>5.767474908422181</v>
      </c>
      <c r="AI28">
        <v>22.819456852144608</v>
      </c>
      <c r="AJ28">
        <v>19.630765003483795</v>
      </c>
      <c r="AK28">
        <v>19.185300972948337</v>
      </c>
      <c r="AL28">
        <v>18.088220444279145</v>
      </c>
      <c r="AM28">
        <v>26.936513458742773</v>
      </c>
      <c r="AN28">
        <v>40.699226421754339</v>
      </c>
      <c r="AO28">
        <v>1.0524008384594501</v>
      </c>
      <c r="AP28">
        <v>101.245</v>
      </c>
      <c r="AQ28">
        <v>9.1113462798752813</v>
      </c>
      <c r="AR28">
        <v>32.090442757250194</v>
      </c>
      <c r="AS28">
        <v>114.5</v>
      </c>
      <c r="AT28">
        <v>579257850288.19995</v>
      </c>
      <c r="AU28">
        <v>6.6345691604571613</v>
      </c>
      <c r="AV28">
        <v>-253639</v>
      </c>
      <c r="AW28">
        <v>2238383172.3499999</v>
      </c>
      <c r="AX28">
        <v>75501038733.309998</v>
      </c>
      <c r="AY28">
        <v>2.7503401861056544</v>
      </c>
      <c r="AZ28">
        <v>9281.3328213686418</v>
      </c>
      <c r="BA28">
        <v>-42146446474.310005</v>
      </c>
      <c r="BB28">
        <v>9.2801060895687275</v>
      </c>
    </row>
    <row r="29" spans="1:54" x14ac:dyDescent="0.25">
      <c r="A29">
        <v>27</v>
      </c>
      <c r="B29">
        <v>2022</v>
      </c>
      <c r="C29" t="s">
        <v>54</v>
      </c>
      <c r="D29" t="s">
        <v>109</v>
      </c>
      <c r="E29" t="s">
        <v>110</v>
      </c>
      <c r="F29">
        <v>38319</v>
      </c>
      <c r="G29">
        <v>1.33986872052852</v>
      </c>
      <c r="H29">
        <v>150</v>
      </c>
      <c r="O29">
        <v>77.177000000000007</v>
      </c>
      <c r="P29">
        <v>1.0249999999999999</v>
      </c>
      <c r="Q29">
        <v>14.539</v>
      </c>
      <c r="T29">
        <v>13.1</v>
      </c>
      <c r="X29">
        <v>72.284027099609403</v>
      </c>
      <c r="AA29">
        <v>36.200000000000003</v>
      </c>
      <c r="AP29">
        <v>92.891300000000001</v>
      </c>
      <c r="AS29">
        <v>56.8</v>
      </c>
      <c r="AV29">
        <v>550</v>
      </c>
      <c r="AX29">
        <v>38118551090</v>
      </c>
    </row>
    <row r="30" spans="1:54" x14ac:dyDescent="0.25">
      <c r="A30">
        <v>28</v>
      </c>
      <c r="B30">
        <v>2022</v>
      </c>
      <c r="C30" t="s">
        <v>54</v>
      </c>
      <c r="D30" t="s">
        <v>111</v>
      </c>
      <c r="E30" t="s">
        <v>112</v>
      </c>
      <c r="F30">
        <v>455370</v>
      </c>
      <c r="G30">
        <v>0.80455426931216401</v>
      </c>
      <c r="H30">
        <v>5770</v>
      </c>
      <c r="J30">
        <v>14101780017.723724</v>
      </c>
      <c r="K30">
        <v>30970</v>
      </c>
      <c r="L30">
        <v>36424678716.118843</v>
      </c>
      <c r="M30">
        <v>79990</v>
      </c>
      <c r="O30">
        <v>72.917000000000002</v>
      </c>
      <c r="P30">
        <v>1.764</v>
      </c>
      <c r="Q30">
        <v>8.5890000000000004</v>
      </c>
      <c r="T30">
        <v>9.5</v>
      </c>
      <c r="V30">
        <v>97</v>
      </c>
      <c r="W30">
        <v>105.507105943152</v>
      </c>
      <c r="X30">
        <v>89.851365059762699</v>
      </c>
      <c r="AA30">
        <v>3800</v>
      </c>
      <c r="AB30">
        <v>141.30910973614581</v>
      </c>
      <c r="AC30">
        <v>9537.0515607056004</v>
      </c>
      <c r="AD30">
        <v>11197.487757208424</v>
      </c>
      <c r="AE30">
        <v>16681536466.7183</v>
      </c>
      <c r="AF30">
        <v>-1.6283315451510845</v>
      </c>
      <c r="AG30">
        <v>24.236726838776491</v>
      </c>
      <c r="AH30">
        <v>1.0961602887624109</v>
      </c>
      <c r="AI30">
        <v>67.925585419234366</v>
      </c>
      <c r="AJ30">
        <v>86.38935688368467</v>
      </c>
      <c r="AK30">
        <v>60.584608995912582</v>
      </c>
      <c r="AL30">
        <v>25.851042942690068</v>
      </c>
      <c r="AO30">
        <v>2.6119300246394799</v>
      </c>
      <c r="AP30">
        <v>116.108</v>
      </c>
      <c r="AQ30">
        <v>1.0442596038317467</v>
      </c>
      <c r="AR30">
        <v>140.35877358607695</v>
      </c>
      <c r="AS30">
        <v>135.4</v>
      </c>
      <c r="AV30">
        <v>0</v>
      </c>
      <c r="AX30">
        <v>-290169984.94083703</v>
      </c>
      <c r="AZ30">
        <v>36632.928095215539</v>
      </c>
      <c r="BA30">
        <v>290169984.94083703</v>
      </c>
      <c r="BB30">
        <v>3.6822503060421559</v>
      </c>
    </row>
    <row r="31" spans="1:54" x14ac:dyDescent="0.25">
      <c r="A31">
        <v>29</v>
      </c>
      <c r="B31">
        <v>2022</v>
      </c>
      <c r="C31" t="s">
        <v>54</v>
      </c>
      <c r="D31" t="s">
        <v>113</v>
      </c>
      <c r="E31" t="s">
        <v>114</v>
      </c>
      <c r="F31">
        <v>6465097</v>
      </c>
      <c r="G31">
        <v>-0.65067613408779601</v>
      </c>
      <c r="H31">
        <v>111000</v>
      </c>
      <c r="I31">
        <v>20.6</v>
      </c>
      <c r="J31">
        <v>84717135626.732086</v>
      </c>
      <c r="K31">
        <v>13100</v>
      </c>
      <c r="L31">
        <v>219012306948.22467</v>
      </c>
      <c r="M31">
        <v>33880</v>
      </c>
      <c r="N31">
        <v>6.2</v>
      </c>
      <c r="O31">
        <v>74.160975609756107</v>
      </c>
      <c r="P31">
        <v>1.78</v>
      </c>
      <c r="Q31">
        <v>39.408999999999999</v>
      </c>
      <c r="T31">
        <v>6.2</v>
      </c>
      <c r="V31">
        <v>91</v>
      </c>
      <c r="W31">
        <v>95.713912963867202</v>
      </c>
      <c r="X31">
        <v>96.672073364257798</v>
      </c>
      <c r="Z31">
        <v>0.1</v>
      </c>
      <c r="AA31">
        <v>39190</v>
      </c>
      <c r="AB31">
        <v>11.399265418479299</v>
      </c>
      <c r="AC31">
        <v>2968.6566342655187</v>
      </c>
      <c r="AD31">
        <v>5536.4985243067504</v>
      </c>
      <c r="AE31">
        <v>90506153293.673279</v>
      </c>
      <c r="AF31">
        <v>4.0838640915122966</v>
      </c>
      <c r="AG31">
        <v>15.918454216647177</v>
      </c>
      <c r="AH31">
        <v>3.7113641358378873</v>
      </c>
      <c r="AI31">
        <v>25.303721234985765</v>
      </c>
      <c r="AJ31">
        <v>69.979474892761431</v>
      </c>
      <c r="AK31">
        <v>68.865402348477033</v>
      </c>
      <c r="AL31">
        <v>22.68758545557052</v>
      </c>
      <c r="AM31">
        <v>36.54038007714172</v>
      </c>
      <c r="AN31">
        <v>17.351958323808034</v>
      </c>
      <c r="AO31">
        <v>1.5870750037213399</v>
      </c>
      <c r="AP31">
        <v>116.679</v>
      </c>
      <c r="AQ31">
        <v>10.38267754185687</v>
      </c>
      <c r="AR31">
        <v>119.20073505934927</v>
      </c>
      <c r="AS31">
        <v>97</v>
      </c>
      <c r="AT31">
        <v>47206483345.400002</v>
      </c>
      <c r="AU31">
        <v>10.911660763505591</v>
      </c>
      <c r="AV31">
        <v>26498</v>
      </c>
      <c r="AW31">
        <v>188040000</v>
      </c>
      <c r="AX31">
        <v>5060860000</v>
      </c>
      <c r="AZ31">
        <v>13999.194953095564</v>
      </c>
      <c r="BA31">
        <v>-3798280000</v>
      </c>
      <c r="BB31">
        <v>15.325258926436639</v>
      </c>
    </row>
    <row r="32" spans="1:54" x14ac:dyDescent="0.25">
      <c r="A32">
        <v>30</v>
      </c>
      <c r="B32">
        <v>2022</v>
      </c>
      <c r="C32" t="s">
        <v>54</v>
      </c>
      <c r="D32" t="s">
        <v>115</v>
      </c>
      <c r="E32" t="s">
        <v>116</v>
      </c>
      <c r="F32">
        <v>22509038</v>
      </c>
      <c r="G32">
        <v>2.3090714738778302</v>
      </c>
      <c r="H32">
        <v>274200</v>
      </c>
      <c r="J32">
        <v>18839306766.574211</v>
      </c>
      <c r="K32">
        <v>840</v>
      </c>
      <c r="L32">
        <v>55682079432.069771</v>
      </c>
      <c r="M32">
        <v>2470</v>
      </c>
      <c r="O32">
        <v>60.7</v>
      </c>
      <c r="P32">
        <v>4.2750000000000004</v>
      </c>
      <c r="Q32">
        <v>88.56</v>
      </c>
      <c r="R32">
        <v>33.962740356843298</v>
      </c>
      <c r="T32">
        <v>79.900000000000006</v>
      </c>
      <c r="V32">
        <v>88</v>
      </c>
      <c r="W32">
        <v>58.291190218395997</v>
      </c>
      <c r="X32">
        <v>33.621286616828201</v>
      </c>
      <c r="Z32">
        <v>0.6</v>
      </c>
      <c r="AA32">
        <v>61164</v>
      </c>
      <c r="AB32">
        <v>20.371128468154463</v>
      </c>
      <c r="AC32">
        <v>312.92908580422716</v>
      </c>
      <c r="AD32">
        <v>131.19174617769093</v>
      </c>
      <c r="AE32">
        <v>18622421394.613308</v>
      </c>
      <c r="AF32">
        <v>1.6267325821191889</v>
      </c>
      <c r="AG32">
        <v>4.6425843528495818</v>
      </c>
      <c r="AH32">
        <v>20.6297606481805</v>
      </c>
      <c r="AI32">
        <v>26.043948895976527</v>
      </c>
      <c r="AJ32">
        <v>31.218073419158841</v>
      </c>
      <c r="AK32">
        <v>36.302216714006697</v>
      </c>
      <c r="AL32">
        <v>18.058505375894722</v>
      </c>
      <c r="AM32">
        <v>19.872630178293935</v>
      </c>
      <c r="AO32">
        <v>2.9816156694253597</v>
      </c>
      <c r="AP32">
        <v>119.46299999999999</v>
      </c>
      <c r="AQ32">
        <v>1.5289989764953029</v>
      </c>
      <c r="AR32">
        <v>53.816846840867584</v>
      </c>
      <c r="AS32">
        <v>97.3</v>
      </c>
      <c r="AT32">
        <v>9905922029.1000004</v>
      </c>
      <c r="AU32">
        <v>6.1741813367534801</v>
      </c>
      <c r="AV32">
        <v>-24960</v>
      </c>
      <c r="AW32">
        <v>185158859.49184299</v>
      </c>
      <c r="AX32">
        <v>669738240.85016406</v>
      </c>
      <c r="AY32">
        <v>61.858040767196712</v>
      </c>
      <c r="AZ32">
        <v>827.33084348666114</v>
      </c>
      <c r="BA32">
        <v>-646208346.27929008</v>
      </c>
      <c r="BB32">
        <v>14.2902354303358</v>
      </c>
    </row>
    <row r="33" spans="1:54" x14ac:dyDescent="0.25">
      <c r="A33">
        <v>31</v>
      </c>
      <c r="B33">
        <v>2022</v>
      </c>
      <c r="C33" t="s">
        <v>54</v>
      </c>
      <c r="D33" t="s">
        <v>117</v>
      </c>
      <c r="E33" t="s">
        <v>118</v>
      </c>
      <c r="F33">
        <v>13321097</v>
      </c>
      <c r="G33">
        <v>2.7058500891671602</v>
      </c>
      <c r="H33">
        <v>27830</v>
      </c>
      <c r="J33">
        <v>3820898763.2126746</v>
      </c>
      <c r="K33">
        <v>290</v>
      </c>
      <c r="L33">
        <v>14767842158.625753</v>
      </c>
      <c r="M33">
        <v>1110</v>
      </c>
      <c r="O33">
        <v>62.881999999999998</v>
      </c>
      <c r="P33">
        <v>4.9800000000000004</v>
      </c>
      <c r="Q33">
        <v>54.08</v>
      </c>
      <c r="T33">
        <v>50.8</v>
      </c>
      <c r="U33">
        <v>27.6</v>
      </c>
      <c r="V33">
        <v>89</v>
      </c>
      <c r="Z33">
        <v>0.9</v>
      </c>
      <c r="AA33">
        <v>2796.4</v>
      </c>
      <c r="AB33">
        <v>12.535791939415283</v>
      </c>
      <c r="AE33">
        <v>4036192552.8887916</v>
      </c>
      <c r="AF33">
        <v>2.3177012222333104</v>
      </c>
      <c r="AG33">
        <v>15.04938612787501</v>
      </c>
      <c r="AH33">
        <v>34.683720938661054</v>
      </c>
      <c r="AI33">
        <v>16.933802359545961</v>
      </c>
      <c r="AO33">
        <v>2.5985809141707401</v>
      </c>
      <c r="AP33">
        <v>56.26</v>
      </c>
      <c r="AQ33">
        <v>1.1179240916667086</v>
      </c>
      <c r="AR33">
        <v>36.346135145362076</v>
      </c>
      <c r="AS33">
        <v>101.7</v>
      </c>
      <c r="AT33">
        <v>946930431.89999998</v>
      </c>
      <c r="AU33">
        <v>0.82360390853414356</v>
      </c>
      <c r="AV33">
        <v>1995</v>
      </c>
      <c r="AW33">
        <v>16594852.781029699</v>
      </c>
      <c r="AX33">
        <v>25249488.989943199</v>
      </c>
      <c r="AY33">
        <v>43.134304362576593</v>
      </c>
      <c r="AZ33">
        <v>302.99250526355235</v>
      </c>
      <c r="BA33">
        <v>-23299307.725033101</v>
      </c>
      <c r="BB33">
        <v>18.800878666494459</v>
      </c>
    </row>
    <row r="34" spans="1:54" x14ac:dyDescent="0.25">
      <c r="A34">
        <v>32</v>
      </c>
      <c r="B34">
        <v>2022</v>
      </c>
      <c r="C34" t="s">
        <v>54</v>
      </c>
      <c r="D34" t="s">
        <v>119</v>
      </c>
      <c r="E34" t="s">
        <v>120</v>
      </c>
      <c r="F34">
        <v>519741</v>
      </c>
      <c r="G34">
        <v>0.59668834586994701</v>
      </c>
      <c r="H34">
        <v>4030</v>
      </c>
      <c r="J34">
        <v>2366105896.0833378</v>
      </c>
      <c r="K34">
        <v>4550</v>
      </c>
      <c r="L34">
        <v>4866160467.8773279</v>
      </c>
      <c r="M34">
        <v>9360</v>
      </c>
      <c r="O34">
        <v>75.906999999999996</v>
      </c>
      <c r="P34">
        <v>1.5329999999999999</v>
      </c>
      <c r="Q34">
        <v>38.673000000000002</v>
      </c>
      <c r="T34">
        <v>12.1</v>
      </c>
      <c r="V34">
        <v>95</v>
      </c>
      <c r="W34">
        <v>99.098557692307693</v>
      </c>
      <c r="X34">
        <v>96.431594037687603</v>
      </c>
      <c r="Z34">
        <v>0.9</v>
      </c>
      <c r="AA34">
        <v>463.2</v>
      </c>
      <c r="AB34">
        <v>11.604527416758431</v>
      </c>
      <c r="AE34">
        <v>2247003344.3424206</v>
      </c>
      <c r="AF34">
        <v>15.843675684641951</v>
      </c>
      <c r="AG34">
        <v>6.3431904043866894</v>
      </c>
      <c r="AH34">
        <v>4.9540486885113575</v>
      </c>
      <c r="AI34">
        <v>11.07892384111441</v>
      </c>
      <c r="AJ34">
        <v>38.684254217013404</v>
      </c>
      <c r="AK34">
        <v>58.309882634322307</v>
      </c>
      <c r="AL34">
        <v>21.879431302759617</v>
      </c>
      <c r="AO34">
        <v>0.45608100509082805</v>
      </c>
      <c r="AP34">
        <v>113.247</v>
      </c>
      <c r="AQ34">
        <v>3.4765400015460224</v>
      </c>
      <c r="AR34">
        <v>85.58064699110453</v>
      </c>
      <c r="AS34">
        <v>90</v>
      </c>
      <c r="AT34">
        <v>2402574451.3000002</v>
      </c>
      <c r="AU34">
        <v>4.7338497538733915</v>
      </c>
      <c r="AV34">
        <v>-1253</v>
      </c>
      <c r="AW34">
        <v>30236846.217780098</v>
      </c>
      <c r="AX34">
        <v>122015528.984869</v>
      </c>
      <c r="AY34">
        <v>161.45941172784097</v>
      </c>
      <c r="AZ34">
        <v>4323.3136203270869</v>
      </c>
      <c r="BA34">
        <v>-103425255.748134</v>
      </c>
      <c r="BB34">
        <v>7.9309292543008718</v>
      </c>
    </row>
    <row r="35" spans="1:54" x14ac:dyDescent="0.25">
      <c r="A35">
        <v>33</v>
      </c>
      <c r="B35">
        <v>2022</v>
      </c>
      <c r="C35" t="s">
        <v>54</v>
      </c>
      <c r="D35" t="s">
        <v>121</v>
      </c>
      <c r="E35" t="s">
        <v>122</v>
      </c>
      <c r="F35">
        <v>17201724</v>
      </c>
      <c r="G35">
        <v>1.3308881310601599</v>
      </c>
      <c r="H35">
        <v>181040</v>
      </c>
      <c r="J35">
        <v>38995460841.232201</v>
      </c>
      <c r="K35">
        <v>2270</v>
      </c>
      <c r="L35">
        <v>114401886453.73355</v>
      </c>
      <c r="M35">
        <v>6650</v>
      </c>
      <c r="O35">
        <v>70.528000000000006</v>
      </c>
      <c r="P35">
        <v>2.6160000000000001</v>
      </c>
      <c r="Q35">
        <v>47.088999999999999</v>
      </c>
      <c r="R35">
        <v>61.9</v>
      </c>
      <c r="S35">
        <v>98.7</v>
      </c>
      <c r="T35">
        <v>23.8</v>
      </c>
      <c r="V35">
        <v>83</v>
      </c>
      <c r="W35">
        <v>87.257241578180498</v>
      </c>
      <c r="X35">
        <v>55.134681264540603</v>
      </c>
      <c r="Z35">
        <v>0.6</v>
      </c>
      <c r="AA35">
        <v>77569.899999999994</v>
      </c>
      <c r="AB35">
        <v>15.841293940856872</v>
      </c>
      <c r="AC35">
        <v>501.64413615208741</v>
      </c>
      <c r="AD35">
        <v>813.23244112043653</v>
      </c>
      <c r="AE35">
        <v>39994532959.607384</v>
      </c>
      <c r="AF35">
        <v>5.1299011077397694</v>
      </c>
      <c r="AG35">
        <v>3.4889001658198424</v>
      </c>
      <c r="AH35">
        <v>16.544085988484795</v>
      </c>
      <c r="AI35">
        <v>40.864962622215828</v>
      </c>
      <c r="AJ35">
        <v>72.207060678098799</v>
      </c>
      <c r="AK35">
        <v>73.666572083307102</v>
      </c>
      <c r="AL35">
        <v>34.59452643187354</v>
      </c>
      <c r="AM35">
        <v>14.953850975496586</v>
      </c>
      <c r="AO35">
        <v>1.5418834894732201</v>
      </c>
      <c r="AP35">
        <v>113.392</v>
      </c>
      <c r="AQ35">
        <v>6.5622259823646338</v>
      </c>
      <c r="AR35">
        <v>130.71036497112576</v>
      </c>
      <c r="AS35">
        <v>80.900000000000006</v>
      </c>
      <c r="AT35">
        <v>22473750966.299999</v>
      </c>
      <c r="AU35">
        <v>7.0957763359108164</v>
      </c>
      <c r="AV35">
        <v>-31350</v>
      </c>
      <c r="AW35">
        <v>302336225.90368199</v>
      </c>
      <c r="AX35">
        <v>3578831295.87392</v>
      </c>
      <c r="AY35">
        <v>90.046381567899232</v>
      </c>
      <c r="AZ35">
        <v>2325.0305004084116</v>
      </c>
      <c r="BA35">
        <v>-3428345015.46067</v>
      </c>
      <c r="BB35">
        <v>5.3437026489543697</v>
      </c>
    </row>
    <row r="36" spans="1:54" x14ac:dyDescent="0.25">
      <c r="A36">
        <v>34</v>
      </c>
      <c r="B36">
        <v>2022</v>
      </c>
      <c r="C36" t="s">
        <v>54</v>
      </c>
      <c r="D36" t="s">
        <v>123</v>
      </c>
      <c r="E36" t="s">
        <v>124</v>
      </c>
      <c r="F36">
        <v>27632771</v>
      </c>
      <c r="G36">
        <v>2.6290509096127299</v>
      </c>
      <c r="H36">
        <v>475440</v>
      </c>
      <c r="J36">
        <v>45747510263.47271</v>
      </c>
      <c r="K36">
        <v>1660</v>
      </c>
      <c r="L36">
        <v>139812326053.8085</v>
      </c>
      <c r="M36">
        <v>5060</v>
      </c>
      <c r="O36">
        <v>62.442999999999998</v>
      </c>
      <c r="P36">
        <v>4.3970000000000002</v>
      </c>
      <c r="Q36">
        <v>108.328</v>
      </c>
      <c r="T36">
        <v>69.5</v>
      </c>
      <c r="V36">
        <v>68</v>
      </c>
      <c r="W36">
        <v>70.436816573910804</v>
      </c>
      <c r="X36">
        <v>45.606672432137103</v>
      </c>
      <c r="Z36">
        <v>2.8</v>
      </c>
      <c r="AA36">
        <v>202284.79999999999</v>
      </c>
      <c r="AB36">
        <v>37.033138189210241</v>
      </c>
      <c r="AC36">
        <v>384.10486315368809</v>
      </c>
      <c r="AD36">
        <v>283.68490442019009</v>
      </c>
      <c r="AE36">
        <v>44347206072.551331</v>
      </c>
      <c r="AF36">
        <v>3.7367840056411978</v>
      </c>
      <c r="AG36">
        <v>6.8310547324867343</v>
      </c>
      <c r="AH36">
        <v>16.546164413274528</v>
      </c>
      <c r="AI36">
        <v>27.130359337719618</v>
      </c>
      <c r="AJ36">
        <v>19.321813317909044</v>
      </c>
      <c r="AK36">
        <v>21.964789241558815</v>
      </c>
      <c r="AL36">
        <v>19.107439809124429</v>
      </c>
      <c r="AO36">
        <v>0.93935294674792402</v>
      </c>
      <c r="AP36">
        <v>89.827399999999997</v>
      </c>
      <c r="AQ36">
        <v>3.2886470600396711</v>
      </c>
      <c r="AR36">
        <v>30.346894859583539</v>
      </c>
      <c r="AS36">
        <v>124.4</v>
      </c>
      <c r="AT36">
        <v>15122663059.799999</v>
      </c>
      <c r="AU36">
        <v>4.1884173525425759</v>
      </c>
      <c r="AV36">
        <v>-4798</v>
      </c>
      <c r="AW36">
        <v>32278962.938510802</v>
      </c>
      <c r="AX36">
        <v>925681548.56325102</v>
      </c>
      <c r="AY36">
        <v>42.957076989819811</v>
      </c>
      <c r="AZ36">
        <v>1604.8772695489472</v>
      </c>
      <c r="BA36">
        <v>-898335371.15381598</v>
      </c>
      <c r="BB36">
        <v>6.2476771334386116</v>
      </c>
    </row>
    <row r="37" spans="1:54" x14ac:dyDescent="0.25">
      <c r="A37">
        <v>35</v>
      </c>
      <c r="B37">
        <v>2022</v>
      </c>
      <c r="C37" t="s">
        <v>54</v>
      </c>
      <c r="D37" t="s">
        <v>125</v>
      </c>
      <c r="E37" t="s">
        <v>126</v>
      </c>
      <c r="F37">
        <v>38935934</v>
      </c>
      <c r="G37">
        <v>1.8039045748818401</v>
      </c>
      <c r="H37">
        <v>15634410</v>
      </c>
      <c r="J37">
        <v>2096755180148.6841</v>
      </c>
      <c r="K37">
        <v>53850</v>
      </c>
      <c r="L37">
        <v>2440621496937.9365</v>
      </c>
      <c r="M37">
        <v>62680</v>
      </c>
      <c r="O37">
        <v>81.245365853658541</v>
      </c>
      <c r="P37">
        <v>1.33</v>
      </c>
      <c r="Q37">
        <v>4.8890000000000002</v>
      </c>
      <c r="T37">
        <v>5.0999999999999996</v>
      </c>
      <c r="V37">
        <v>92</v>
      </c>
      <c r="X37">
        <v>107.479377746582</v>
      </c>
      <c r="Z37">
        <v>0.1</v>
      </c>
      <c r="AA37">
        <v>3468541.3110000002</v>
      </c>
      <c r="AB37">
        <v>49.227839623145485</v>
      </c>
      <c r="AC37">
        <v>7578.0209360123736</v>
      </c>
      <c r="AD37">
        <v>14907.077867966387</v>
      </c>
      <c r="AE37">
        <v>2190411080134.3191</v>
      </c>
      <c r="AF37">
        <v>4.1890362810085122</v>
      </c>
      <c r="AG37">
        <v>7.9067621307732594</v>
      </c>
      <c r="AJ37">
        <v>33.943190666937923</v>
      </c>
      <c r="AK37">
        <v>33.374430889461024</v>
      </c>
      <c r="AL37">
        <v>25.318666825678548</v>
      </c>
      <c r="AM37">
        <v>18.972303871705474</v>
      </c>
      <c r="AN37">
        <v>126.04352603214093</v>
      </c>
      <c r="AO37">
        <v>1.1671325948634501</v>
      </c>
      <c r="AP37">
        <v>91.238699999999994</v>
      </c>
      <c r="AQ37">
        <v>15.148976538046844</v>
      </c>
      <c r="AR37">
        <v>54.254290930957403</v>
      </c>
      <c r="AS37">
        <v>121.1</v>
      </c>
      <c r="AV37">
        <v>459988</v>
      </c>
      <c r="AW37">
        <v>10423273671.1828</v>
      </c>
      <c r="AX37">
        <v>50229920776.0187</v>
      </c>
      <c r="AZ37">
        <v>56256.800726401452</v>
      </c>
      <c r="BA37">
        <v>38444704429.740799</v>
      </c>
      <c r="BB37">
        <v>6.8028011534161283</v>
      </c>
    </row>
    <row r="38" spans="1:54" x14ac:dyDescent="0.25">
      <c r="A38">
        <v>36</v>
      </c>
      <c r="B38">
        <v>2022</v>
      </c>
      <c r="C38" t="s">
        <v>54</v>
      </c>
      <c r="D38" t="s">
        <v>127</v>
      </c>
      <c r="E38" t="s">
        <v>128</v>
      </c>
      <c r="F38">
        <v>71591</v>
      </c>
      <c r="G38">
        <v>2.0932457530951498</v>
      </c>
      <c r="H38">
        <v>264</v>
      </c>
      <c r="J38">
        <v>5301723272.7459698</v>
      </c>
      <c r="K38">
        <v>74060</v>
      </c>
      <c r="L38">
        <v>4633414058.6715717</v>
      </c>
      <c r="M38">
        <v>64720</v>
      </c>
      <c r="O38">
        <v>79.983999999999995</v>
      </c>
      <c r="P38">
        <v>1.5409999999999999</v>
      </c>
      <c r="Q38">
        <v>11.515000000000001</v>
      </c>
      <c r="W38">
        <v>97.956577266922096</v>
      </c>
      <c r="X38">
        <v>85.601226806640597</v>
      </c>
      <c r="AA38">
        <v>126.4</v>
      </c>
      <c r="AE38">
        <v>6660161212.019968</v>
      </c>
      <c r="AF38">
        <v>5.7756670802882439</v>
      </c>
      <c r="AG38">
        <v>3.8886316883647112</v>
      </c>
      <c r="AH38">
        <v>0.46893990167682986</v>
      </c>
      <c r="AI38">
        <v>8.0805516513433435</v>
      </c>
      <c r="AP38">
        <v>139.315</v>
      </c>
      <c r="AQ38">
        <v>56.646705190862157</v>
      </c>
      <c r="AR38">
        <v>27.536870979790649</v>
      </c>
      <c r="AS38">
        <v>143.19999999999999</v>
      </c>
      <c r="AV38">
        <v>942</v>
      </c>
      <c r="AW38">
        <v>538825162.05183601</v>
      </c>
      <c r="AX38">
        <v>-3144736442.9941001</v>
      </c>
      <c r="AZ38">
        <v>93030.705144780324</v>
      </c>
      <c r="BA38">
        <v>2377417994.0584698</v>
      </c>
    </row>
    <row r="39" spans="1:54" x14ac:dyDescent="0.25">
      <c r="A39">
        <v>37</v>
      </c>
      <c r="B39">
        <v>2022</v>
      </c>
      <c r="C39" t="s">
        <v>54</v>
      </c>
      <c r="D39" t="s">
        <v>129</v>
      </c>
      <c r="E39" t="s">
        <v>130</v>
      </c>
      <c r="F39">
        <v>5098039</v>
      </c>
      <c r="G39">
        <v>-0.27543227157315597</v>
      </c>
      <c r="H39">
        <v>622980</v>
      </c>
      <c r="J39">
        <v>2665625203.8568187</v>
      </c>
      <c r="K39">
        <v>520</v>
      </c>
      <c r="L39">
        <v>6538856977.4104528</v>
      </c>
      <c r="M39">
        <v>1280</v>
      </c>
      <c r="O39">
        <v>18.818000000000001</v>
      </c>
      <c r="P39">
        <v>6.0229999999999997</v>
      </c>
      <c r="Q39">
        <v>163.01900000000001</v>
      </c>
      <c r="T39">
        <v>387.4</v>
      </c>
      <c r="U39">
        <v>18.399999999999999</v>
      </c>
      <c r="V39">
        <v>32</v>
      </c>
      <c r="Z39">
        <v>2.7</v>
      </c>
      <c r="AA39">
        <v>222430</v>
      </c>
      <c r="AB39">
        <v>28.050844916997935</v>
      </c>
      <c r="AE39">
        <v>2382618615.0169392</v>
      </c>
      <c r="AF39">
        <v>0.45390187644778734</v>
      </c>
      <c r="AG39">
        <v>6.0187787727245166</v>
      </c>
      <c r="AH39">
        <v>36.217110002411857</v>
      </c>
      <c r="AI39">
        <v>21.15730000073896</v>
      </c>
      <c r="AJ39">
        <v>12.300499998649256</v>
      </c>
      <c r="AK39">
        <v>32.933070002970737</v>
      </c>
      <c r="AL39">
        <v>24.326660001217327</v>
      </c>
      <c r="AO39">
        <v>1.7108622431685199</v>
      </c>
      <c r="AP39">
        <v>38.821800000000003</v>
      </c>
      <c r="AQ39">
        <v>37.297404677395186</v>
      </c>
      <c r="AR39">
        <v>24.636758745202144</v>
      </c>
      <c r="AS39">
        <v>96.5</v>
      </c>
      <c r="AT39">
        <v>1045511289.2</v>
      </c>
      <c r="AU39">
        <v>0.79256818933951501</v>
      </c>
      <c r="AV39">
        <v>-17430</v>
      </c>
      <c r="AX39">
        <v>24047720</v>
      </c>
      <c r="AY39">
        <v>134.13358299234039</v>
      </c>
      <c r="AZ39">
        <v>467.35982502623835</v>
      </c>
      <c r="BB39">
        <v>5.5831673518324667</v>
      </c>
    </row>
    <row r="40" spans="1:54" x14ac:dyDescent="0.25">
      <c r="A40">
        <v>38</v>
      </c>
      <c r="B40">
        <v>2022</v>
      </c>
      <c r="C40" t="s">
        <v>54</v>
      </c>
      <c r="D40" t="s">
        <v>131</v>
      </c>
      <c r="E40" t="s">
        <v>132</v>
      </c>
      <c r="F40">
        <v>18455316</v>
      </c>
      <c r="G40">
        <v>3.4566891108469102</v>
      </c>
      <c r="H40">
        <v>1284000</v>
      </c>
      <c r="I40">
        <v>44.8</v>
      </c>
      <c r="J40">
        <v>17553236855.90239</v>
      </c>
      <c r="K40">
        <v>950</v>
      </c>
      <c r="L40">
        <v>47929337439.989639</v>
      </c>
      <c r="M40">
        <v>2600</v>
      </c>
      <c r="N40">
        <v>6.9</v>
      </c>
      <c r="O40">
        <v>54.527999999999999</v>
      </c>
      <c r="P40">
        <v>6.2149999999999999</v>
      </c>
      <c r="Q40">
        <v>136.697</v>
      </c>
      <c r="T40">
        <v>104.3</v>
      </c>
      <c r="U40">
        <v>18.2</v>
      </c>
      <c r="V40">
        <v>54</v>
      </c>
      <c r="Z40">
        <v>1</v>
      </c>
      <c r="AA40">
        <v>40914.443999999996</v>
      </c>
      <c r="AB40">
        <v>18.098675372551565</v>
      </c>
      <c r="AC40">
        <v>198.54477452087301</v>
      </c>
      <c r="AD40">
        <v>14.467376229158038</v>
      </c>
      <c r="AE40">
        <v>17828508289.604942</v>
      </c>
      <c r="AF40">
        <v>4.1296989767633221</v>
      </c>
      <c r="AG40">
        <v>14.147701098325612</v>
      </c>
      <c r="AH40">
        <v>35.227982398597931</v>
      </c>
      <c r="AI40">
        <v>33.063605230064105</v>
      </c>
      <c r="AJ40">
        <v>31.7353441144244</v>
      </c>
      <c r="AK40">
        <v>16.253034317518537</v>
      </c>
      <c r="AL40">
        <v>17.971522488906952</v>
      </c>
      <c r="AO40">
        <v>2.0442448086408</v>
      </c>
      <c r="AP40">
        <v>65.437799999999996</v>
      </c>
      <c r="AR40">
        <v>34.377525592388253</v>
      </c>
      <c r="AS40">
        <v>158.6</v>
      </c>
      <c r="AT40">
        <v>3269658175.5</v>
      </c>
      <c r="AU40">
        <v>2.3891098149162198</v>
      </c>
      <c r="AV40">
        <v>36670</v>
      </c>
      <c r="AX40">
        <v>614018510</v>
      </c>
      <c r="AY40">
        <v>38.05512384277246</v>
      </c>
      <c r="AZ40">
        <v>966.03646827856767</v>
      </c>
      <c r="BB40">
        <v>5.7880268784361641</v>
      </c>
    </row>
    <row r="41" spans="1:54" x14ac:dyDescent="0.25">
      <c r="A41">
        <v>39</v>
      </c>
      <c r="B41">
        <v>2022</v>
      </c>
      <c r="C41" t="s">
        <v>54</v>
      </c>
      <c r="D41" t="s">
        <v>133</v>
      </c>
      <c r="E41" t="s">
        <v>134</v>
      </c>
      <c r="F41">
        <v>167215</v>
      </c>
      <c r="G41">
        <v>0.28386992196538702</v>
      </c>
      <c r="O41">
        <v>81</v>
      </c>
      <c r="P41">
        <v>1.37</v>
      </c>
      <c r="Q41">
        <v>8.7200000000000006</v>
      </c>
      <c r="AE41">
        <v>11308272505.183027</v>
      </c>
      <c r="AF41">
        <v>5.3419614037586882</v>
      </c>
      <c r="AG41">
        <v>7.3583223226885082</v>
      </c>
      <c r="AH41">
        <v>0.65038305783139028</v>
      </c>
      <c r="AI41">
        <v>8.3830678810673263</v>
      </c>
      <c r="AV41">
        <v>820</v>
      </c>
      <c r="AZ41">
        <v>67627.141734790697</v>
      </c>
    </row>
    <row r="42" spans="1:54" x14ac:dyDescent="0.25">
      <c r="A42">
        <v>40</v>
      </c>
      <c r="B42">
        <v>2022</v>
      </c>
      <c r="C42" t="s">
        <v>54</v>
      </c>
      <c r="D42" t="s">
        <v>135</v>
      </c>
      <c r="E42" t="s">
        <v>136</v>
      </c>
      <c r="F42">
        <v>19553036</v>
      </c>
      <c r="G42">
        <v>0.49578959149428498</v>
      </c>
      <c r="H42">
        <v>757244.88</v>
      </c>
      <c r="I42">
        <v>6.5</v>
      </c>
      <c r="J42">
        <v>301825433784.23468</v>
      </c>
      <c r="K42">
        <v>15440</v>
      </c>
      <c r="L42">
        <v>573150951798.8623</v>
      </c>
      <c r="M42">
        <v>29310</v>
      </c>
      <c r="N42">
        <v>5.9</v>
      </c>
      <c r="O42">
        <v>79.176000000000002</v>
      </c>
      <c r="P42">
        <v>1.2549999999999999</v>
      </c>
      <c r="Q42">
        <v>7.6870000000000003</v>
      </c>
      <c r="T42">
        <v>6.8</v>
      </c>
      <c r="V42">
        <v>94</v>
      </c>
      <c r="W42">
        <v>100.26937866210901</v>
      </c>
      <c r="X42">
        <v>106.068328857422</v>
      </c>
      <c r="Z42">
        <v>0.6</v>
      </c>
      <c r="AA42">
        <v>184565.266</v>
      </c>
      <c r="AB42">
        <v>7.8963731513145152</v>
      </c>
      <c r="AC42">
        <v>2124.6984823136982</v>
      </c>
      <c r="AD42">
        <v>4422.433426706727</v>
      </c>
      <c r="AE42">
        <v>301226575540.2417</v>
      </c>
      <c r="AF42">
        <v>2.1539935619245796</v>
      </c>
      <c r="AG42">
        <v>7.5601573866270968</v>
      </c>
      <c r="AH42">
        <v>3.2346792584916213</v>
      </c>
      <c r="AI42">
        <v>31.033047400602147</v>
      </c>
      <c r="AJ42">
        <v>35.606628272313685</v>
      </c>
      <c r="AK42">
        <v>39.59498947021666</v>
      </c>
      <c r="AL42">
        <v>25.798419006445496</v>
      </c>
      <c r="AM42">
        <v>26.081242656048389</v>
      </c>
      <c r="AN42">
        <v>94.690154574988711</v>
      </c>
      <c r="AO42">
        <v>1.5409906933700199</v>
      </c>
      <c r="AP42">
        <v>135.114</v>
      </c>
      <c r="AQ42">
        <v>6.9367268411669265</v>
      </c>
      <c r="AR42">
        <v>67.446904256579515</v>
      </c>
      <c r="AS42">
        <v>125</v>
      </c>
      <c r="AV42">
        <v>59374</v>
      </c>
      <c r="AW42">
        <v>673119195</v>
      </c>
      <c r="AX42">
        <v>18771990469.189999</v>
      </c>
      <c r="AZ42">
        <v>15405.616577407298</v>
      </c>
      <c r="BA42">
        <v>-4717296726.415</v>
      </c>
      <c r="BB42">
        <v>11.64386671105596</v>
      </c>
    </row>
    <row r="43" spans="1:54" x14ac:dyDescent="0.25">
      <c r="A43">
        <v>41</v>
      </c>
      <c r="B43">
        <v>2022</v>
      </c>
      <c r="C43" t="s">
        <v>54</v>
      </c>
      <c r="D43" t="s">
        <v>137</v>
      </c>
      <c r="E43" t="s">
        <v>138</v>
      </c>
      <c r="F43">
        <v>1412175000</v>
      </c>
      <c r="G43">
        <v>-1.30995013525784E-2</v>
      </c>
      <c r="H43">
        <v>9562910</v>
      </c>
      <c r="J43">
        <v>18595279821527.77</v>
      </c>
      <c r="K43">
        <v>13170</v>
      </c>
      <c r="L43">
        <v>32253389995977.793</v>
      </c>
      <c r="M43">
        <v>22840</v>
      </c>
      <c r="N43">
        <v>7.3</v>
      </c>
      <c r="O43">
        <v>78.201999999999998</v>
      </c>
      <c r="P43">
        <v>1.034</v>
      </c>
      <c r="Q43">
        <v>5.4630000000000001</v>
      </c>
      <c r="T43">
        <v>6.6</v>
      </c>
      <c r="V43">
        <v>99</v>
      </c>
      <c r="AA43">
        <v>2237370</v>
      </c>
      <c r="AB43">
        <v>29.388677268590772</v>
      </c>
      <c r="AC43">
        <v>2676.4820097611064</v>
      </c>
      <c r="AD43">
        <v>6112.135535609963</v>
      </c>
      <c r="AE43">
        <v>18316765021690.156</v>
      </c>
      <c r="AF43">
        <v>3.1341888719577042</v>
      </c>
      <c r="AG43">
        <v>1.9342740784076256</v>
      </c>
      <c r="AH43">
        <v>7.1478869283017081</v>
      </c>
      <c r="AI43">
        <v>37.894526662006598</v>
      </c>
      <c r="AJ43">
        <v>20.297731691400543</v>
      </c>
      <c r="AK43">
        <v>17.142988184965446</v>
      </c>
      <c r="AL43">
        <v>42.355433347049917</v>
      </c>
      <c r="AM43">
        <v>14.655960563014139</v>
      </c>
      <c r="AN43">
        <v>62.616657889197946</v>
      </c>
      <c r="AO43">
        <v>1.6305338915695899</v>
      </c>
      <c r="AP43">
        <v>124.19499999999999</v>
      </c>
      <c r="AQ43">
        <v>27.765061256315583</v>
      </c>
      <c r="AR43">
        <v>34.126883172862819</v>
      </c>
      <c r="AS43">
        <v>89.5</v>
      </c>
      <c r="AT43">
        <v>2530502272052.6001</v>
      </c>
      <c r="AU43">
        <v>2.4894329251480993</v>
      </c>
      <c r="AV43">
        <v>-293846</v>
      </c>
      <c r="AW43">
        <v>22156035784.91</v>
      </c>
      <c r="AX43">
        <v>190203789092.51001</v>
      </c>
      <c r="AY43">
        <v>-0.19861427861028835</v>
      </c>
      <c r="AZ43">
        <v>12970.605641432652</v>
      </c>
      <c r="BA43">
        <v>19846371666.52</v>
      </c>
      <c r="BB43">
        <v>1.9735755573905061</v>
      </c>
    </row>
    <row r="44" spans="1:54" x14ac:dyDescent="0.25">
      <c r="A44">
        <v>42</v>
      </c>
      <c r="B44">
        <v>2022</v>
      </c>
      <c r="C44" t="s">
        <v>54</v>
      </c>
      <c r="D44" t="s">
        <v>139</v>
      </c>
      <c r="E44" t="s">
        <v>140</v>
      </c>
      <c r="F44">
        <v>51737944</v>
      </c>
      <c r="G44">
        <v>1.06829295530618</v>
      </c>
      <c r="H44">
        <v>1140619.05</v>
      </c>
      <c r="I44">
        <v>36.6</v>
      </c>
      <c r="J44">
        <v>339395556322.04089</v>
      </c>
      <c r="K44">
        <v>6560</v>
      </c>
      <c r="L44">
        <v>1033748777908.8776</v>
      </c>
      <c r="M44">
        <v>19980</v>
      </c>
      <c r="N44">
        <v>3.2</v>
      </c>
      <c r="O44">
        <v>76.507999999999996</v>
      </c>
      <c r="P44">
        <v>1.663</v>
      </c>
      <c r="Q44">
        <v>60.174999999999997</v>
      </c>
      <c r="T44">
        <v>12.4</v>
      </c>
      <c r="V44">
        <v>88</v>
      </c>
      <c r="W44">
        <v>97.117103576660199</v>
      </c>
      <c r="X44">
        <v>101.573776245117</v>
      </c>
      <c r="Z44">
        <v>0.6</v>
      </c>
      <c r="AA44">
        <v>587433.38899999997</v>
      </c>
      <c r="AB44">
        <v>14.620761802393195</v>
      </c>
      <c r="AC44">
        <v>851.23277656803293</v>
      </c>
      <c r="AD44">
        <v>1528.0854608370212</v>
      </c>
      <c r="AE44">
        <v>345632492851.44751</v>
      </c>
      <c r="AF44">
        <v>7.3282772942797862</v>
      </c>
      <c r="AG44">
        <v>14.925036680697772</v>
      </c>
      <c r="AH44">
        <v>8.8315447368904056</v>
      </c>
      <c r="AI44">
        <v>26.123002231695235</v>
      </c>
      <c r="AJ44">
        <v>20.388367993833096</v>
      </c>
      <c r="AK44">
        <v>27.894287118502813</v>
      </c>
      <c r="AL44">
        <v>19.787244600731842</v>
      </c>
      <c r="AM44">
        <v>25.4074707170723</v>
      </c>
      <c r="AN44">
        <v>19.793419720351242</v>
      </c>
      <c r="AO44">
        <v>2.7979828272292702</v>
      </c>
      <c r="AP44">
        <v>156.19499999999999</v>
      </c>
      <c r="AQ44">
        <v>8.4018263718643933</v>
      </c>
      <c r="AR44">
        <v>38.888704846905156</v>
      </c>
      <c r="AS44">
        <v>154.1</v>
      </c>
      <c r="AT44">
        <v>184496121410.20001</v>
      </c>
      <c r="AU44">
        <v>8.1542475949146027</v>
      </c>
      <c r="AV44">
        <v>183180</v>
      </c>
      <c r="AW44">
        <v>449510119.17353499</v>
      </c>
      <c r="AX44">
        <v>17182225497.905899</v>
      </c>
      <c r="AY44">
        <v>36.425053400786084</v>
      </c>
      <c r="AZ44">
        <v>6680.4450685448091</v>
      </c>
      <c r="BA44">
        <v>-13798720624.7493</v>
      </c>
      <c r="BB44">
        <v>10.17723135461662</v>
      </c>
    </row>
    <row r="45" spans="1:54" x14ac:dyDescent="0.25">
      <c r="A45">
        <v>43</v>
      </c>
      <c r="B45">
        <v>2022</v>
      </c>
      <c r="C45" t="s">
        <v>54</v>
      </c>
      <c r="D45" t="s">
        <v>141</v>
      </c>
      <c r="E45" t="s">
        <v>142</v>
      </c>
      <c r="F45">
        <v>834188</v>
      </c>
      <c r="G45">
        <v>1.9383768701044499</v>
      </c>
      <c r="H45">
        <v>1861</v>
      </c>
      <c r="J45">
        <v>1330384400.5353608</v>
      </c>
      <c r="K45">
        <v>1590</v>
      </c>
      <c r="L45">
        <v>3054227435.9066868</v>
      </c>
      <c r="M45">
        <v>3660</v>
      </c>
      <c r="O45">
        <v>66.480999999999995</v>
      </c>
      <c r="P45">
        <v>3.9350000000000001</v>
      </c>
      <c r="Q45">
        <v>56.298000000000002</v>
      </c>
      <c r="R45">
        <v>11.6</v>
      </c>
      <c r="T45">
        <v>41.1</v>
      </c>
      <c r="U45">
        <v>9.1</v>
      </c>
      <c r="V45">
        <v>71</v>
      </c>
      <c r="Z45">
        <v>0.1</v>
      </c>
      <c r="AA45">
        <v>320.39999999999998</v>
      </c>
      <c r="AB45">
        <v>114.14813275844658</v>
      </c>
      <c r="AE45">
        <v>1222485532.3197627</v>
      </c>
      <c r="AF45">
        <v>2.6030103192784253</v>
      </c>
      <c r="AG45">
        <v>5.1855534407218187</v>
      </c>
      <c r="AH45">
        <v>35.164324124623988</v>
      </c>
      <c r="AI45">
        <v>9.6387980935905553</v>
      </c>
      <c r="AJ45">
        <v>12.947027503563135</v>
      </c>
      <c r="AK45">
        <v>37.441742977906799</v>
      </c>
      <c r="AL45">
        <v>13.334794301082423</v>
      </c>
      <c r="AP45">
        <v>100.54900000000001</v>
      </c>
      <c r="AQ45">
        <v>0.30733084652419268</v>
      </c>
      <c r="AR45">
        <v>32.883824746553302</v>
      </c>
      <c r="AS45">
        <v>64.900000000000006</v>
      </c>
      <c r="AT45">
        <v>362101264.80000001</v>
      </c>
      <c r="AU45">
        <v>0.39409980707616965</v>
      </c>
      <c r="AV45">
        <v>-2002</v>
      </c>
      <c r="AW45">
        <v>4450271.1376828998</v>
      </c>
      <c r="AX45">
        <v>4128667.4753899099</v>
      </c>
      <c r="AY45">
        <v>166.61386813129775</v>
      </c>
      <c r="AZ45">
        <v>1465.4796428619959</v>
      </c>
      <c r="BA45">
        <v>-4128667.4753899099</v>
      </c>
      <c r="BB45">
        <v>12.532031457099871</v>
      </c>
    </row>
    <row r="46" spans="1:54" x14ac:dyDescent="0.25">
      <c r="A46">
        <v>44</v>
      </c>
      <c r="B46">
        <v>2022</v>
      </c>
      <c r="C46" t="s">
        <v>54</v>
      </c>
      <c r="D46" t="s">
        <v>143</v>
      </c>
      <c r="E46" t="s">
        <v>144</v>
      </c>
      <c r="F46">
        <v>102396968</v>
      </c>
      <c r="G46">
        <v>3.2234019442494999</v>
      </c>
      <c r="H46">
        <v>2344860</v>
      </c>
      <c r="J46">
        <v>62171322678.774673</v>
      </c>
      <c r="K46">
        <v>610</v>
      </c>
      <c r="L46">
        <v>154695789146.61258</v>
      </c>
      <c r="M46">
        <v>1510</v>
      </c>
      <c r="O46">
        <v>60.978999999999999</v>
      </c>
      <c r="P46">
        <v>6.1059999999999999</v>
      </c>
      <c r="Q46">
        <v>108.06</v>
      </c>
      <c r="T46">
        <v>75.7</v>
      </c>
      <c r="V46">
        <v>56</v>
      </c>
      <c r="Z46">
        <v>0.8</v>
      </c>
      <c r="AA46">
        <v>1239520</v>
      </c>
      <c r="AB46">
        <v>76.919461610869234</v>
      </c>
      <c r="AC46">
        <v>390.89991123301525</v>
      </c>
      <c r="AD46">
        <v>130.66793149578413</v>
      </c>
      <c r="AE46">
        <v>70422346142.202286</v>
      </c>
      <c r="AF46">
        <v>9.3111694406491807</v>
      </c>
      <c r="AG46">
        <v>9.9890768252065811</v>
      </c>
      <c r="AH46">
        <v>10.337007473816183</v>
      </c>
      <c r="AI46">
        <v>41.957389153237806</v>
      </c>
      <c r="AJ46">
        <v>40.820324611059768</v>
      </c>
      <c r="AK46">
        <v>45.001844576936037</v>
      </c>
      <c r="AL46">
        <v>36.685840484825647</v>
      </c>
      <c r="AM46">
        <v>13.235247115031843</v>
      </c>
      <c r="AO46">
        <v>0.56770721523969503</v>
      </c>
      <c r="AP46">
        <v>48.677399999999999</v>
      </c>
      <c r="AQ46">
        <v>0.72315868159508701</v>
      </c>
      <c r="AR46">
        <v>38.452283235948961</v>
      </c>
      <c r="AS46">
        <v>139.1</v>
      </c>
      <c r="AT46">
        <v>10683388144.1</v>
      </c>
      <c r="AU46">
        <v>1.3333617894902927</v>
      </c>
      <c r="AV46">
        <v>-14991</v>
      </c>
      <c r="AW46">
        <v>2048156987.5308299</v>
      </c>
      <c r="AX46">
        <v>1409373841.76263</v>
      </c>
      <c r="AY46">
        <v>32.127060862259903</v>
      </c>
      <c r="AZ46">
        <v>687.73858755468507</v>
      </c>
      <c r="BA46">
        <v>-1409373841.76263</v>
      </c>
    </row>
    <row r="47" spans="1:54" x14ac:dyDescent="0.25">
      <c r="A47">
        <v>45</v>
      </c>
      <c r="B47">
        <v>2022</v>
      </c>
      <c r="C47" t="s">
        <v>54</v>
      </c>
      <c r="D47" t="s">
        <v>145</v>
      </c>
      <c r="E47" t="s">
        <v>146</v>
      </c>
      <c r="F47">
        <v>6035104</v>
      </c>
      <c r="G47">
        <v>2.3966530028430402</v>
      </c>
      <c r="H47">
        <v>342000</v>
      </c>
      <c r="J47">
        <v>13072467559.252359</v>
      </c>
      <c r="K47">
        <v>2170</v>
      </c>
      <c r="L47">
        <v>35764083586.621277</v>
      </c>
      <c r="M47">
        <v>5930</v>
      </c>
      <c r="O47">
        <v>65</v>
      </c>
      <c r="P47">
        <v>4.2149999999999999</v>
      </c>
      <c r="Q47">
        <v>111.227</v>
      </c>
      <c r="T47">
        <v>41.9</v>
      </c>
      <c r="V47">
        <v>65</v>
      </c>
      <c r="Z47">
        <v>3.2</v>
      </c>
      <c r="AA47">
        <v>219160</v>
      </c>
      <c r="AB47">
        <v>221.19998890791007</v>
      </c>
      <c r="AC47">
        <v>627.58596619874493</v>
      </c>
      <c r="AD47">
        <v>458.98131995736941</v>
      </c>
      <c r="AE47">
        <v>15817030154.694141</v>
      </c>
      <c r="AF47">
        <v>1.4753561324713331</v>
      </c>
      <c r="AG47">
        <v>18.260898780846574</v>
      </c>
      <c r="AH47">
        <v>8.0419106943363019</v>
      </c>
      <c r="AI47">
        <v>49.245552363231155</v>
      </c>
      <c r="AJ47">
        <v>63.812146856292493</v>
      </c>
      <c r="AK47">
        <v>34.349189835907588</v>
      </c>
      <c r="AL47">
        <v>20.97920682552428</v>
      </c>
      <c r="AO47">
        <v>1.90798488893194</v>
      </c>
      <c r="AP47">
        <v>93.625900000000001</v>
      </c>
      <c r="AQ47">
        <v>4.3272265416317746</v>
      </c>
      <c r="AR47">
        <v>79.041386895818022</v>
      </c>
      <c r="AS47">
        <v>126.7</v>
      </c>
      <c r="AT47">
        <v>7329997141.3999996</v>
      </c>
      <c r="AU47">
        <v>9.4083769756282027</v>
      </c>
      <c r="AV47">
        <v>-995</v>
      </c>
      <c r="AX47">
        <v>532256250</v>
      </c>
      <c r="AY47">
        <v>116.72854902011117</v>
      </c>
      <c r="AZ47">
        <v>2620.8380426740187</v>
      </c>
      <c r="BB47">
        <v>3.043443346984775</v>
      </c>
    </row>
    <row r="48" spans="1:54" x14ac:dyDescent="0.25">
      <c r="A48">
        <v>46</v>
      </c>
      <c r="B48">
        <v>2022</v>
      </c>
      <c r="C48" t="s">
        <v>54</v>
      </c>
      <c r="D48" t="s">
        <v>147</v>
      </c>
      <c r="E48" t="s">
        <v>148</v>
      </c>
      <c r="F48">
        <v>5081765</v>
      </c>
      <c r="G48">
        <v>0.42945304365839798</v>
      </c>
      <c r="H48">
        <v>51100</v>
      </c>
      <c r="I48">
        <v>25.5</v>
      </c>
      <c r="J48">
        <v>67119511464.074677</v>
      </c>
      <c r="K48">
        <v>13210</v>
      </c>
      <c r="L48">
        <v>122322718991.07855</v>
      </c>
      <c r="M48">
        <v>24070</v>
      </c>
      <c r="N48">
        <v>4.5</v>
      </c>
      <c r="O48">
        <v>79.316000000000003</v>
      </c>
      <c r="P48">
        <v>1.335</v>
      </c>
      <c r="Q48">
        <v>26.451000000000001</v>
      </c>
      <c r="T48">
        <v>10.1</v>
      </c>
      <c r="V48">
        <v>90</v>
      </c>
      <c r="W48">
        <v>93.170791625976605</v>
      </c>
      <c r="X48">
        <v>131.90759277343801</v>
      </c>
      <c r="Z48">
        <v>0.6</v>
      </c>
      <c r="AA48">
        <v>30676.1</v>
      </c>
      <c r="AB48">
        <v>20.177918850951357</v>
      </c>
      <c r="AC48">
        <v>1009.2152295008389</v>
      </c>
      <c r="AD48">
        <v>2142.9562366618684</v>
      </c>
      <c r="AE48">
        <v>69243626028.593582</v>
      </c>
      <c r="AF48">
        <v>4.5514917795839835</v>
      </c>
      <c r="AG48">
        <v>6.2803851368028063</v>
      </c>
      <c r="AH48">
        <v>4.1400736209008544</v>
      </c>
      <c r="AI48">
        <v>20.646438111616749</v>
      </c>
      <c r="AJ48">
        <v>42.405196114439363</v>
      </c>
      <c r="AK48">
        <v>39.822336420874954</v>
      </c>
      <c r="AL48">
        <v>17.697333649620706</v>
      </c>
      <c r="AM48">
        <v>28.891425836901437</v>
      </c>
      <c r="AN48">
        <v>3.2234880349539892</v>
      </c>
      <c r="AP48">
        <v>154.989</v>
      </c>
      <c r="AQ48">
        <v>21.974896001181843</v>
      </c>
      <c r="AR48">
        <v>56.730131353575885</v>
      </c>
      <c r="AS48">
        <v>87.8</v>
      </c>
      <c r="AV48">
        <v>1006</v>
      </c>
      <c r="AW48">
        <v>561856358.83961105</v>
      </c>
      <c r="AX48">
        <v>3673404328.9731398</v>
      </c>
      <c r="AY48">
        <v>126.19799079942578</v>
      </c>
      <c r="AZ48">
        <v>13625.900849132848</v>
      </c>
      <c r="BA48">
        <v>-3060056476.9904099</v>
      </c>
      <c r="BB48">
        <v>8.2747749023265413</v>
      </c>
    </row>
    <row r="49" spans="1:54" x14ac:dyDescent="0.25">
      <c r="A49">
        <v>47</v>
      </c>
      <c r="B49">
        <v>2022</v>
      </c>
      <c r="C49" t="s">
        <v>54</v>
      </c>
      <c r="D49" t="s">
        <v>149</v>
      </c>
      <c r="E49" t="s">
        <v>150</v>
      </c>
      <c r="F49">
        <v>30395002</v>
      </c>
      <c r="G49">
        <v>2.5162293495351302</v>
      </c>
      <c r="H49">
        <v>322460</v>
      </c>
      <c r="J49">
        <v>74090311633.562149</v>
      </c>
      <c r="K49">
        <v>2440</v>
      </c>
      <c r="L49">
        <v>197617106162.53824</v>
      </c>
      <c r="M49">
        <v>6500</v>
      </c>
      <c r="O49">
        <v>61.561999999999998</v>
      </c>
      <c r="P49">
        <v>4.3490000000000002</v>
      </c>
      <c r="Q49">
        <v>93.194000000000003</v>
      </c>
      <c r="R49">
        <v>31.9711571456027</v>
      </c>
      <c r="T49">
        <v>69.2</v>
      </c>
      <c r="V49">
        <v>62</v>
      </c>
      <c r="W49">
        <v>64.667885150123396</v>
      </c>
      <c r="X49">
        <v>54.071410829048602</v>
      </c>
      <c r="Z49">
        <v>1.9</v>
      </c>
      <c r="AA49">
        <v>26109.388999999999</v>
      </c>
      <c r="AB49">
        <v>58.255302854576371</v>
      </c>
      <c r="AC49">
        <v>471.77542480223894</v>
      </c>
      <c r="AD49">
        <v>323.70453537065072</v>
      </c>
      <c r="AE49">
        <v>70922824813.910202</v>
      </c>
      <c r="AF49">
        <v>6.3998836272053126</v>
      </c>
      <c r="AG49">
        <v>3.00000062873427</v>
      </c>
      <c r="AH49">
        <v>16.584333209761567</v>
      </c>
      <c r="AI49">
        <v>23.044542347441613</v>
      </c>
      <c r="AJ49">
        <v>24.267360326229465</v>
      </c>
      <c r="AK49">
        <v>28.599030715118857</v>
      </c>
      <c r="AL49">
        <v>27.485311536479291</v>
      </c>
      <c r="AM49">
        <v>12.045584645153124</v>
      </c>
      <c r="AO49">
        <v>0.86522690491050802</v>
      </c>
      <c r="AP49">
        <v>161.232</v>
      </c>
      <c r="AQ49">
        <v>3.5565703287241588</v>
      </c>
      <c r="AR49">
        <v>48.38780757822996</v>
      </c>
      <c r="AS49">
        <v>80.8</v>
      </c>
      <c r="AT49">
        <v>31623476790.299999</v>
      </c>
      <c r="AU49">
        <v>3.359794996435963</v>
      </c>
      <c r="AV49">
        <v>26777</v>
      </c>
      <c r="AW49">
        <v>1428226344.25476</v>
      </c>
      <c r="AX49">
        <v>1599115748.8332601</v>
      </c>
      <c r="AY49">
        <v>64.729478771501647</v>
      </c>
      <c r="AZ49">
        <v>2333.3712830125887</v>
      </c>
      <c r="BA49">
        <v>-1431624506.8575699</v>
      </c>
      <c r="BB49">
        <v>5.2335285610084252</v>
      </c>
    </row>
    <row r="50" spans="1:54" x14ac:dyDescent="0.25">
      <c r="A50">
        <v>48</v>
      </c>
      <c r="B50">
        <v>2022</v>
      </c>
      <c r="C50" t="s">
        <v>54</v>
      </c>
      <c r="D50" t="s">
        <v>151</v>
      </c>
      <c r="E50" t="s">
        <v>152</v>
      </c>
      <c r="F50">
        <v>3855641</v>
      </c>
      <c r="G50">
        <v>-0.60352195218831794</v>
      </c>
      <c r="H50">
        <v>88070</v>
      </c>
      <c r="J50">
        <v>74682850970.713226</v>
      </c>
      <c r="K50">
        <v>19370</v>
      </c>
      <c r="L50">
        <v>161142639517.65588</v>
      </c>
      <c r="M50">
        <v>41790</v>
      </c>
      <c r="N50">
        <v>7.9</v>
      </c>
      <c r="O50">
        <v>77.575609756097563</v>
      </c>
      <c r="P50">
        <v>1.53</v>
      </c>
      <c r="Q50">
        <v>6.9450000000000003</v>
      </c>
      <c r="T50">
        <v>4.5999999999999996</v>
      </c>
      <c r="V50">
        <v>90</v>
      </c>
      <c r="W50">
        <v>100.281730651855</v>
      </c>
      <c r="X50">
        <v>105.577796936035</v>
      </c>
      <c r="Z50">
        <v>0.1</v>
      </c>
      <c r="AA50">
        <v>19441.099999999999</v>
      </c>
      <c r="AB50">
        <v>94.36446367743325</v>
      </c>
      <c r="AC50">
        <v>2154.9548326674708</v>
      </c>
      <c r="AD50">
        <v>4475.5204128185169</v>
      </c>
      <c r="AE50">
        <v>71196498671.114548</v>
      </c>
      <c r="AF50">
        <v>7.2944534364266786</v>
      </c>
      <c r="AG50">
        <v>8.009950194632907</v>
      </c>
      <c r="AH50">
        <v>3.393223879244057</v>
      </c>
      <c r="AI50">
        <v>20.065770748219538</v>
      </c>
      <c r="AJ50">
        <v>59.512044692742059</v>
      </c>
      <c r="AK50">
        <v>65.898833281951468</v>
      </c>
      <c r="AL50">
        <v>26.227961526324883</v>
      </c>
      <c r="AM50">
        <v>38.257415047466473</v>
      </c>
      <c r="AN50">
        <v>27.157922595770412</v>
      </c>
      <c r="AO50">
        <v>1.80285265162096</v>
      </c>
      <c r="AP50">
        <v>114.67700000000001</v>
      </c>
      <c r="AQ50">
        <v>12.063854042863776</v>
      </c>
      <c r="AR50">
        <v>98.445852405992724</v>
      </c>
      <c r="AS50">
        <v>89.8</v>
      </c>
      <c r="AV50">
        <v>11681</v>
      </c>
      <c r="AW50">
        <v>937682353.17911398</v>
      </c>
      <c r="AX50">
        <v>3927390914.4345298</v>
      </c>
      <c r="AZ50">
        <v>18465.54144203637</v>
      </c>
      <c r="BA50">
        <v>-4326432330.5194807</v>
      </c>
      <c r="BB50">
        <v>10.780580675868601</v>
      </c>
    </row>
    <row r="51" spans="1:54" x14ac:dyDescent="0.25">
      <c r="A51">
        <v>49</v>
      </c>
      <c r="B51">
        <v>2022</v>
      </c>
      <c r="C51" t="s">
        <v>54</v>
      </c>
      <c r="D51" t="s">
        <v>153</v>
      </c>
      <c r="E51" t="s">
        <v>154</v>
      </c>
      <c r="F51">
        <v>11059820</v>
      </c>
      <c r="G51">
        <v>-0.56215127508213303</v>
      </c>
      <c r="H51">
        <v>109880</v>
      </c>
      <c r="O51">
        <v>77.629000000000005</v>
      </c>
      <c r="P51">
        <v>1.4119999999999999</v>
      </c>
      <c r="Q51">
        <v>47.767000000000003</v>
      </c>
      <c r="R51">
        <v>62.1</v>
      </c>
      <c r="T51">
        <v>7.9</v>
      </c>
      <c r="V51">
        <v>99</v>
      </c>
      <c r="W51">
        <v>93.266321309190005</v>
      </c>
      <c r="X51">
        <v>103.62714898956099</v>
      </c>
      <c r="Z51">
        <v>0.6</v>
      </c>
      <c r="AA51">
        <v>32420</v>
      </c>
      <c r="AB51">
        <v>12.004516702461899</v>
      </c>
      <c r="AC51">
        <v>815.61586279883227</v>
      </c>
      <c r="AD51">
        <v>1102.097502490999</v>
      </c>
      <c r="AF51">
        <v>1.7746522772431632</v>
      </c>
      <c r="AG51">
        <v>14.092658289999079</v>
      </c>
      <c r="AH51">
        <v>0.80067225510312079</v>
      </c>
      <c r="AI51">
        <v>23.783235638365927</v>
      </c>
      <c r="AJ51">
        <v>40.4896279061686</v>
      </c>
      <c r="AK51">
        <v>53.371147682883866</v>
      </c>
      <c r="AL51">
        <v>18.294626539860655</v>
      </c>
      <c r="AP51">
        <v>68.718000000000004</v>
      </c>
      <c r="AQ51">
        <v>7.8755891318266391</v>
      </c>
      <c r="AS51">
        <v>93.2</v>
      </c>
      <c r="AV51">
        <v>-23149</v>
      </c>
      <c r="AY51">
        <v>12.531084364445896</v>
      </c>
    </row>
    <row r="52" spans="1:54" x14ac:dyDescent="0.25">
      <c r="A52">
        <v>50</v>
      </c>
      <c r="B52">
        <v>2022</v>
      </c>
      <c r="C52" t="s">
        <v>54</v>
      </c>
      <c r="D52" t="s">
        <v>155</v>
      </c>
      <c r="E52" t="s">
        <v>156</v>
      </c>
      <c r="F52">
        <v>153321</v>
      </c>
      <c r="G52">
        <v>-0.40811202578318201</v>
      </c>
      <c r="H52">
        <v>444</v>
      </c>
      <c r="J52">
        <v>3140110215.4199409</v>
      </c>
      <c r="K52">
        <v>20480</v>
      </c>
      <c r="L52">
        <v>4483765510.893095</v>
      </c>
      <c r="M52">
        <v>29240</v>
      </c>
      <c r="O52">
        <v>76.728999999999999</v>
      </c>
      <c r="P52">
        <v>1.3</v>
      </c>
      <c r="Q52">
        <v>13.022</v>
      </c>
      <c r="AA52">
        <v>0.7</v>
      </c>
      <c r="AC52">
        <v>5649.7310433597095</v>
      </c>
      <c r="AD52">
        <v>5028.6653491693896</v>
      </c>
      <c r="AE52">
        <v>3075180834.7241673</v>
      </c>
      <c r="AF52">
        <v>6.9059999999999917</v>
      </c>
      <c r="AG52">
        <v>4.9983116361848232</v>
      </c>
      <c r="AH52">
        <v>0.26617439424771511</v>
      </c>
      <c r="AI52">
        <v>11.189058612384871</v>
      </c>
      <c r="AP52">
        <v>92.732500000000002</v>
      </c>
      <c r="AR52">
        <v>84.092615653672766</v>
      </c>
      <c r="AV52">
        <v>518</v>
      </c>
      <c r="AW52">
        <v>132052564.76536299</v>
      </c>
      <c r="AX52">
        <v>175616794.94972101</v>
      </c>
      <c r="AZ52">
        <v>20057.140474717537</v>
      </c>
      <c r="BA52">
        <v>-157170896.134078</v>
      </c>
    </row>
    <row r="53" spans="1:54" x14ac:dyDescent="0.25">
      <c r="A53">
        <v>51</v>
      </c>
      <c r="B53">
        <v>2022</v>
      </c>
      <c r="C53" t="s">
        <v>54</v>
      </c>
      <c r="D53" t="s">
        <v>157</v>
      </c>
      <c r="E53" t="s">
        <v>158</v>
      </c>
      <c r="F53">
        <v>1331370</v>
      </c>
      <c r="G53">
        <v>1.0617467871237301</v>
      </c>
      <c r="H53">
        <v>9250</v>
      </c>
      <c r="J53">
        <v>29883039273.665203</v>
      </c>
      <c r="K53">
        <v>31810</v>
      </c>
      <c r="L53">
        <v>46589311005.044464</v>
      </c>
      <c r="M53">
        <v>49590</v>
      </c>
      <c r="N53">
        <v>8.6999999999999993</v>
      </c>
      <c r="O53">
        <v>80.433999999999997</v>
      </c>
      <c r="P53">
        <v>1.393</v>
      </c>
      <c r="Q53">
        <v>7.0410000000000004</v>
      </c>
      <c r="T53">
        <v>3.5</v>
      </c>
      <c r="V53">
        <v>84</v>
      </c>
      <c r="W53">
        <v>99.373451232910199</v>
      </c>
      <c r="X53">
        <v>104.005722045898</v>
      </c>
      <c r="AA53">
        <v>1724.9</v>
      </c>
      <c r="AB53">
        <v>132.15358333903953</v>
      </c>
      <c r="AC53">
        <v>1682.7049254504457</v>
      </c>
      <c r="AD53">
        <v>3848.667162396629</v>
      </c>
      <c r="AE53">
        <v>31218038929.091934</v>
      </c>
      <c r="AF53">
        <v>8.2737259729381378</v>
      </c>
      <c r="AG53">
        <v>6.6205968574418108</v>
      </c>
      <c r="AH53">
        <v>1.1860761260119994</v>
      </c>
      <c r="AI53">
        <v>10.375046731534967</v>
      </c>
      <c r="AJ53">
        <v>104.66609337927952</v>
      </c>
      <c r="AK53">
        <v>101.08745036624403</v>
      </c>
      <c r="AL53">
        <v>20.595057600675233</v>
      </c>
      <c r="AM53">
        <v>38.077746904334127</v>
      </c>
      <c r="AN53">
        <v>20.925914067946934</v>
      </c>
      <c r="AO53">
        <v>1.72118847605333</v>
      </c>
      <c r="AP53">
        <v>151.24100000000001</v>
      </c>
      <c r="AQ53">
        <v>17.659598122901116</v>
      </c>
      <c r="AR53">
        <v>53.574793849123104</v>
      </c>
      <c r="AS53">
        <v>86</v>
      </c>
      <c r="AV53">
        <v>9014</v>
      </c>
      <c r="AW53">
        <v>979967014.16510296</v>
      </c>
      <c r="AX53">
        <v>53889706.601880997</v>
      </c>
      <c r="AZ53">
        <v>33231.04296875</v>
      </c>
      <c r="BA53">
        <v>-5481961858.6905003</v>
      </c>
      <c r="BB53">
        <v>8.3954829799333446</v>
      </c>
    </row>
    <row r="54" spans="1:54" x14ac:dyDescent="0.25">
      <c r="A54">
        <v>52</v>
      </c>
      <c r="B54">
        <v>2022</v>
      </c>
      <c r="C54" t="s">
        <v>54</v>
      </c>
      <c r="D54" t="s">
        <v>159</v>
      </c>
      <c r="E54" t="s">
        <v>160</v>
      </c>
      <c r="F54">
        <v>10672118</v>
      </c>
      <c r="G54">
        <v>1.5709725672010999</v>
      </c>
      <c r="H54">
        <v>78871.47</v>
      </c>
      <c r="J54">
        <v>290360740994.03088</v>
      </c>
      <c r="K54">
        <v>27210</v>
      </c>
      <c r="L54">
        <v>529395772866.44244</v>
      </c>
      <c r="M54">
        <v>49610</v>
      </c>
      <c r="N54">
        <v>9.8000000000000007</v>
      </c>
      <c r="O54">
        <v>78.929268292682934</v>
      </c>
      <c r="P54">
        <v>1.64</v>
      </c>
      <c r="Q54">
        <v>6.9130000000000003</v>
      </c>
      <c r="T54">
        <v>2.7</v>
      </c>
      <c r="V54">
        <v>97</v>
      </c>
      <c r="W54">
        <v>103.10996246337901</v>
      </c>
      <c r="X54">
        <v>102.93556213378901</v>
      </c>
      <c r="AA54">
        <v>26807.1</v>
      </c>
      <c r="AB54">
        <v>152.34428984825598</v>
      </c>
      <c r="AC54">
        <v>3895.6292891539529</v>
      </c>
      <c r="AD54">
        <v>6363.0293443157207</v>
      </c>
      <c r="AE54">
        <v>301831228325.55554</v>
      </c>
      <c r="AF54">
        <v>2.8471706583814012</v>
      </c>
      <c r="AG54">
        <v>8.6711008796706466</v>
      </c>
      <c r="AH54">
        <v>2.076349755002644</v>
      </c>
      <c r="AI54">
        <v>29.218573046432617</v>
      </c>
      <c r="AJ54">
        <v>72.409428142808835</v>
      </c>
      <c r="AK54">
        <v>71.602065966587759</v>
      </c>
      <c r="AL54">
        <v>31.033301030146365</v>
      </c>
      <c r="AM54">
        <v>30.221030963399052</v>
      </c>
      <c r="AN54">
        <v>9.5447181392796914</v>
      </c>
      <c r="AO54">
        <v>1.3269021054566701</v>
      </c>
      <c r="AP54">
        <v>128.10499999999999</v>
      </c>
      <c r="AQ54">
        <v>21.835361895952587</v>
      </c>
      <c r="AR54">
        <v>158.59127720333078</v>
      </c>
      <c r="AS54">
        <v>95.2</v>
      </c>
      <c r="AV54">
        <v>329739</v>
      </c>
      <c r="AW54">
        <v>5689640348.4162197</v>
      </c>
      <c r="AX54">
        <v>9143600294.91329</v>
      </c>
      <c r="AZ54">
        <v>28282.223671585671</v>
      </c>
      <c r="BA54">
        <v>-3471076484.1872301</v>
      </c>
      <c r="BB54">
        <v>15.100165146837149</v>
      </c>
    </row>
    <row r="55" spans="1:54" x14ac:dyDescent="0.25">
      <c r="A55">
        <v>53</v>
      </c>
      <c r="B55">
        <v>2022</v>
      </c>
      <c r="C55" t="s">
        <v>54</v>
      </c>
      <c r="D55" t="s">
        <v>161</v>
      </c>
      <c r="E55" t="s">
        <v>162</v>
      </c>
      <c r="F55">
        <v>5903037</v>
      </c>
      <c r="G55">
        <v>0.787502464739957</v>
      </c>
      <c r="H55">
        <v>42920</v>
      </c>
      <c r="J55">
        <v>425248701927.31445</v>
      </c>
      <c r="K55">
        <v>72040</v>
      </c>
      <c r="L55">
        <v>471406384736.87799</v>
      </c>
      <c r="M55">
        <v>79860</v>
      </c>
      <c r="N55">
        <v>9</v>
      </c>
      <c r="O55">
        <v>81.304878048780495</v>
      </c>
      <c r="P55">
        <v>1.55</v>
      </c>
      <c r="Q55">
        <v>1.196</v>
      </c>
      <c r="T55">
        <v>3.5</v>
      </c>
      <c r="V55">
        <v>95</v>
      </c>
      <c r="W55">
        <v>99.885879516601605</v>
      </c>
      <c r="X55">
        <v>130.32699584960901</v>
      </c>
      <c r="Z55">
        <v>0.1</v>
      </c>
      <c r="AA55">
        <v>6303.2</v>
      </c>
      <c r="AB55">
        <v>373.43726482482498</v>
      </c>
      <c r="AC55">
        <v>2580.5431918078266</v>
      </c>
      <c r="AD55">
        <v>5847.159690850659</v>
      </c>
      <c r="AE55">
        <v>400114306337.0766</v>
      </c>
      <c r="AF55">
        <v>0.44383261490833092</v>
      </c>
      <c r="AG55">
        <v>10.398410494046686</v>
      </c>
      <c r="AH55">
        <v>1.002285337296636</v>
      </c>
      <c r="AI55">
        <v>20.668856729155408</v>
      </c>
      <c r="AJ55">
        <v>70.755214877640498</v>
      </c>
      <c r="AK55">
        <v>61.2406100314303</v>
      </c>
      <c r="AL55">
        <v>24.777203290235313</v>
      </c>
      <c r="AM55">
        <v>35.951044794782625</v>
      </c>
      <c r="AO55">
        <v>1.36156457421085</v>
      </c>
      <c r="AP55">
        <v>126.48399999999999</v>
      </c>
      <c r="AQ55">
        <v>15.988289228272013</v>
      </c>
      <c r="AR55">
        <v>65.20711603353719</v>
      </c>
      <c r="AS55">
        <v>94.3</v>
      </c>
      <c r="AV55">
        <v>60219</v>
      </c>
      <c r="AW55">
        <v>3860479081.3632302</v>
      </c>
      <c r="AX55">
        <v>27627359889.4076</v>
      </c>
      <c r="AZ55">
        <v>67781.094093951397</v>
      </c>
      <c r="BA55">
        <v>1404958420.3505201</v>
      </c>
      <c r="BB55">
        <v>7.6965669988925969</v>
      </c>
    </row>
    <row r="56" spans="1:54" x14ac:dyDescent="0.25">
      <c r="A56">
        <v>54</v>
      </c>
      <c r="B56">
        <v>2022</v>
      </c>
      <c r="C56" t="s">
        <v>54</v>
      </c>
      <c r="D56" t="s">
        <v>163</v>
      </c>
      <c r="E56" t="s">
        <v>164</v>
      </c>
      <c r="F56">
        <v>1137096</v>
      </c>
      <c r="G56">
        <v>1.4035293256080701</v>
      </c>
      <c r="H56">
        <v>23200</v>
      </c>
      <c r="J56">
        <v>3758151635.6478243</v>
      </c>
      <c r="K56">
        <v>3310</v>
      </c>
      <c r="L56">
        <v>7672294919.3069649</v>
      </c>
      <c r="M56">
        <v>6750</v>
      </c>
      <c r="O56">
        <v>65.540000000000006</v>
      </c>
      <c r="P56">
        <v>2.653</v>
      </c>
      <c r="Q56">
        <v>19.306000000000001</v>
      </c>
      <c r="T56">
        <v>52.2</v>
      </c>
      <c r="V56">
        <v>50</v>
      </c>
      <c r="Z56">
        <v>1</v>
      </c>
      <c r="AA56">
        <v>59.643999999999998</v>
      </c>
      <c r="AB56">
        <v>177.1348237718004</v>
      </c>
      <c r="AE56">
        <v>3562814908.7614856</v>
      </c>
      <c r="AF56">
        <v>5.1665370285437433</v>
      </c>
      <c r="AG56">
        <v>-0.14775859215451703</v>
      </c>
      <c r="AH56">
        <v>2.6310179224764427</v>
      </c>
      <c r="AI56">
        <v>15.03087278027378</v>
      </c>
      <c r="AJ56">
        <v>159.25073552880761</v>
      </c>
      <c r="AK56">
        <v>143.03467370273754</v>
      </c>
      <c r="AL56">
        <v>-10.595741525143348</v>
      </c>
      <c r="AP56">
        <v>46.777099999999997</v>
      </c>
      <c r="AQ56">
        <v>3.024177420850287</v>
      </c>
      <c r="AR56">
        <v>272.22856781441925</v>
      </c>
      <c r="AS56">
        <v>91.9</v>
      </c>
      <c r="AT56">
        <v>3170133063.9000001</v>
      </c>
      <c r="AU56">
        <v>2.1379309131884914</v>
      </c>
      <c r="AV56">
        <v>500</v>
      </c>
      <c r="AW56">
        <v>1980632.5645252899</v>
      </c>
      <c r="AX56">
        <v>187022847.62380701</v>
      </c>
      <c r="AY56">
        <v>53.518841002058053</v>
      </c>
      <c r="AZ56">
        <v>3133.2577977246297</v>
      </c>
      <c r="BA56">
        <v>-187022847.62380698</v>
      </c>
      <c r="BB56">
        <v>5.1798084796706103</v>
      </c>
    </row>
    <row r="57" spans="1:54" x14ac:dyDescent="0.25">
      <c r="A57">
        <v>55</v>
      </c>
      <c r="B57">
        <v>2022</v>
      </c>
      <c r="C57" t="s">
        <v>54</v>
      </c>
      <c r="D57" t="s">
        <v>165</v>
      </c>
      <c r="E57" t="s">
        <v>166</v>
      </c>
      <c r="F57">
        <v>66826</v>
      </c>
      <c r="G57">
        <v>-0.56107826185638698</v>
      </c>
      <c r="H57">
        <v>750</v>
      </c>
      <c r="J57">
        <v>651112025.20048416</v>
      </c>
      <c r="K57">
        <v>9740</v>
      </c>
      <c r="L57">
        <v>1262353411.6619394</v>
      </c>
      <c r="M57">
        <v>18890</v>
      </c>
      <c r="O57">
        <v>71.081000000000003</v>
      </c>
      <c r="P57">
        <v>1.482</v>
      </c>
      <c r="Q57">
        <v>34.274999999999999</v>
      </c>
      <c r="T57">
        <v>35.1</v>
      </c>
      <c r="V57">
        <v>87</v>
      </c>
      <c r="W57">
        <v>96.658988952636705</v>
      </c>
      <c r="X57">
        <v>105.387588500977</v>
      </c>
      <c r="Z57">
        <v>0.5</v>
      </c>
      <c r="AA57">
        <v>478.7</v>
      </c>
      <c r="AB57">
        <v>28.704847981649756</v>
      </c>
      <c r="AE57">
        <v>623062962.96296287</v>
      </c>
      <c r="AF57">
        <v>10.396807661612129</v>
      </c>
      <c r="AG57">
        <v>0.26182367844941723</v>
      </c>
      <c r="AH57">
        <v>12.943819957557348</v>
      </c>
      <c r="AI57">
        <v>12.606775368995466</v>
      </c>
      <c r="AP57">
        <v>85.189899999999994</v>
      </c>
      <c r="AQ57">
        <v>27.594662663954928</v>
      </c>
      <c r="AR57">
        <v>46.223257859915478</v>
      </c>
      <c r="AS57">
        <v>62.2</v>
      </c>
      <c r="AT57">
        <v>599233701.70000005</v>
      </c>
      <c r="AU57">
        <v>6.1021570333994033</v>
      </c>
      <c r="AV57">
        <v>-202</v>
      </c>
      <c r="AW57">
        <v>12217742.2222222</v>
      </c>
      <c r="AX57">
        <v>16922305.5555555</v>
      </c>
      <c r="AY57">
        <v>890.67489874736475</v>
      </c>
      <c r="AZ57">
        <v>9323.660894905619</v>
      </c>
      <c r="BA57">
        <v>-17650167.777777698</v>
      </c>
      <c r="BB57">
        <v>2.8849022682935321</v>
      </c>
    </row>
    <row r="58" spans="1:54" x14ac:dyDescent="0.25">
      <c r="A58">
        <v>56</v>
      </c>
      <c r="B58">
        <v>2022</v>
      </c>
      <c r="C58" t="s">
        <v>54</v>
      </c>
      <c r="D58" t="s">
        <v>167</v>
      </c>
      <c r="E58" t="s">
        <v>168</v>
      </c>
      <c r="F58">
        <v>11230734</v>
      </c>
      <c r="G58">
        <v>0.959629735113671</v>
      </c>
      <c r="H58">
        <v>146839.46300000002</v>
      </c>
      <c r="I58">
        <v>27.7</v>
      </c>
      <c r="J58">
        <v>102735717829.48114</v>
      </c>
      <c r="K58">
        <v>9150</v>
      </c>
      <c r="L58">
        <v>266059249207.66107</v>
      </c>
      <c r="M58">
        <v>23690</v>
      </c>
      <c r="N58">
        <v>6.6</v>
      </c>
      <c r="O58">
        <v>74.210999999999999</v>
      </c>
      <c r="P58">
        <v>2.2669999999999999</v>
      </c>
      <c r="Q58">
        <v>53.582000000000001</v>
      </c>
      <c r="T58">
        <v>32.200000000000003</v>
      </c>
      <c r="V58">
        <v>85</v>
      </c>
      <c r="W58">
        <v>89.488625928160999</v>
      </c>
      <c r="X58">
        <v>76.528319724741195</v>
      </c>
      <c r="Z58">
        <v>1</v>
      </c>
      <c r="AA58">
        <v>21602.799999999999</v>
      </c>
      <c r="AB58">
        <v>13.687326723268399</v>
      </c>
      <c r="AC58">
        <v>950.47010529201384</v>
      </c>
      <c r="AD58">
        <v>1716.8067554622876</v>
      </c>
      <c r="AE58">
        <v>113478087134.79988</v>
      </c>
      <c r="AF58">
        <v>5.2379565290259507</v>
      </c>
      <c r="AG58">
        <v>9.551234734664078</v>
      </c>
      <c r="AH58">
        <v>4.1537198418871073</v>
      </c>
      <c r="AI58">
        <v>30.825542745173827</v>
      </c>
      <c r="AJ58">
        <v>22.026186619824056</v>
      </c>
      <c r="AK58">
        <v>32.352011051460309</v>
      </c>
      <c r="AL58">
        <v>30.670557073476328</v>
      </c>
      <c r="AM58">
        <v>16.36232174927942</v>
      </c>
      <c r="AO58">
        <v>0.67907300162919404</v>
      </c>
      <c r="AP58">
        <v>90.376000000000005</v>
      </c>
      <c r="AQ58">
        <v>6.0187905587686181</v>
      </c>
      <c r="AR58">
        <v>39.358259491054973</v>
      </c>
      <c r="AS58">
        <v>93.8</v>
      </c>
      <c r="AT58">
        <v>48289508484.199997</v>
      </c>
      <c r="AU58">
        <v>3.3913116255712827</v>
      </c>
      <c r="AV58">
        <v>-35153</v>
      </c>
      <c r="AW58">
        <v>954500000</v>
      </c>
      <c r="AX58">
        <v>4050000000</v>
      </c>
      <c r="AY58">
        <v>32.786326170367943</v>
      </c>
      <c r="AZ58">
        <v>10104.244934908073</v>
      </c>
      <c r="BA58">
        <v>-4098800000</v>
      </c>
      <c r="BB58">
        <v>8.8110920927958691</v>
      </c>
    </row>
    <row r="59" spans="1:54" x14ac:dyDescent="0.25">
      <c r="A59">
        <v>57</v>
      </c>
      <c r="B59">
        <v>2022</v>
      </c>
      <c r="C59" t="s">
        <v>54</v>
      </c>
      <c r="D59" t="s">
        <v>169</v>
      </c>
      <c r="E59" t="s">
        <v>170</v>
      </c>
      <c r="F59">
        <v>17823897</v>
      </c>
      <c r="G59">
        <v>0.79672365203420104</v>
      </c>
      <c r="H59">
        <v>256370</v>
      </c>
      <c r="I59">
        <v>25.2</v>
      </c>
      <c r="J59">
        <v>116761720110.59775</v>
      </c>
      <c r="K59">
        <v>6550</v>
      </c>
      <c r="L59">
        <v>266413017678.13187</v>
      </c>
      <c r="M59">
        <v>14950</v>
      </c>
      <c r="N59">
        <v>4.7</v>
      </c>
      <c r="O59">
        <v>76.576999999999998</v>
      </c>
      <c r="P59">
        <v>1.861</v>
      </c>
      <c r="Q59">
        <v>56.981000000000002</v>
      </c>
      <c r="T59">
        <v>13.2</v>
      </c>
      <c r="V59">
        <v>74</v>
      </c>
      <c r="W59">
        <v>99.466627913448406</v>
      </c>
      <c r="X59">
        <v>94.133530576416106</v>
      </c>
      <c r="Z59">
        <v>0.4</v>
      </c>
      <c r="AA59">
        <v>123692.9</v>
      </c>
      <c r="AB59">
        <v>10.978374000886088</v>
      </c>
      <c r="AC59">
        <v>904.73992362451941</v>
      </c>
      <c r="AD59">
        <v>1589.2708536185999</v>
      </c>
      <c r="AE59">
        <v>116133121000</v>
      </c>
      <c r="AF59">
        <v>5.8684235486231131</v>
      </c>
      <c r="AG59">
        <v>2.348068434399849</v>
      </c>
      <c r="AH59">
        <v>7.3930399235546247</v>
      </c>
      <c r="AI59">
        <v>29.583590541754234</v>
      </c>
      <c r="AJ59">
        <v>30.925245692828661</v>
      </c>
      <c r="AK59">
        <v>30.955547125957288</v>
      </c>
      <c r="AL59">
        <v>22.405905202530466</v>
      </c>
      <c r="AM59">
        <v>30.962540531903898</v>
      </c>
      <c r="AO59">
        <v>2.2185152997554702</v>
      </c>
      <c r="AP59">
        <v>98.130899999999997</v>
      </c>
      <c r="AQ59">
        <v>6.711579234057294</v>
      </c>
      <c r="AR59">
        <v>56.579035708512471</v>
      </c>
      <c r="AS59">
        <v>114.4</v>
      </c>
      <c r="AT59">
        <v>60682883622.400002</v>
      </c>
      <c r="AU59">
        <v>4.6656953416792417</v>
      </c>
      <c r="AV59">
        <v>-23090</v>
      </c>
      <c r="AW59">
        <v>636527720.95095003</v>
      </c>
      <c r="AX59">
        <v>882020803.52951705</v>
      </c>
      <c r="AY59">
        <v>21.183939336229503</v>
      </c>
      <c r="AZ59">
        <v>6515.5852841833639</v>
      </c>
      <c r="BA59">
        <v>-882020803.52951705</v>
      </c>
      <c r="BB59">
        <v>3.4661697221307679</v>
      </c>
    </row>
    <row r="60" spans="1:54" x14ac:dyDescent="0.25">
      <c r="A60">
        <v>58</v>
      </c>
      <c r="B60">
        <v>2022</v>
      </c>
      <c r="C60" t="s">
        <v>54</v>
      </c>
      <c r="D60" t="s">
        <v>171</v>
      </c>
      <c r="E60" t="s">
        <v>172</v>
      </c>
      <c r="F60">
        <v>112618250</v>
      </c>
      <c r="G60">
        <v>1.4860969754029401</v>
      </c>
      <c r="H60">
        <v>1001450</v>
      </c>
      <c r="J60">
        <v>455137361816.39252</v>
      </c>
      <c r="K60">
        <v>4040</v>
      </c>
      <c r="L60">
        <v>1908574709620.605</v>
      </c>
      <c r="M60">
        <v>16950</v>
      </c>
      <c r="O60">
        <v>71.010000000000005</v>
      </c>
      <c r="P60">
        <v>2.75</v>
      </c>
      <c r="Q60">
        <v>41.851999999999997</v>
      </c>
      <c r="T60">
        <v>18.100000000000001</v>
      </c>
      <c r="V60">
        <v>96</v>
      </c>
      <c r="Z60">
        <v>0.1</v>
      </c>
      <c r="AA60">
        <v>449.8</v>
      </c>
      <c r="AB60">
        <v>5.8558336028981275</v>
      </c>
      <c r="AC60">
        <v>902.48842991302035</v>
      </c>
      <c r="AD60">
        <v>1477.9487338863817</v>
      </c>
      <c r="AE60">
        <v>476747720364.74164</v>
      </c>
      <c r="AF60">
        <v>6.5878456088696709</v>
      </c>
      <c r="AG60">
        <v>10.425789243574471</v>
      </c>
      <c r="AH60">
        <v>10.945753522473701</v>
      </c>
      <c r="AI60">
        <v>32.711431431303794</v>
      </c>
      <c r="AJ60">
        <v>15.087025820847943</v>
      </c>
      <c r="AK60">
        <v>21.896079056423336</v>
      </c>
      <c r="AL60">
        <v>19.855913292955051</v>
      </c>
      <c r="AN60">
        <v>8.1495848517692071</v>
      </c>
      <c r="AO60">
        <v>1.0147559655952101</v>
      </c>
      <c r="AP60">
        <v>90.679500000000004</v>
      </c>
      <c r="AQ60">
        <v>3.4020498750804142</v>
      </c>
      <c r="AR60">
        <v>30.823430028689831</v>
      </c>
      <c r="AS60">
        <v>118.7</v>
      </c>
      <c r="AT60">
        <v>163111452414.10001</v>
      </c>
      <c r="AU60">
        <v>3.8891759119188114</v>
      </c>
      <c r="AV60">
        <v>13707</v>
      </c>
      <c r="AW60">
        <v>395400000</v>
      </c>
      <c r="AX60">
        <v>11399900000</v>
      </c>
      <c r="AY60">
        <v>51.669287927633846</v>
      </c>
      <c r="AZ60">
        <v>4233.3078374485631</v>
      </c>
      <c r="BA60">
        <v>-11058100000</v>
      </c>
      <c r="BB60">
        <v>13.895660977517791</v>
      </c>
    </row>
    <row r="61" spans="1:54" x14ac:dyDescent="0.25">
      <c r="A61">
        <v>59</v>
      </c>
      <c r="B61">
        <v>2022</v>
      </c>
      <c r="C61" t="s">
        <v>54</v>
      </c>
      <c r="D61" t="s">
        <v>173</v>
      </c>
      <c r="E61" t="s">
        <v>174</v>
      </c>
      <c r="F61">
        <v>6280319</v>
      </c>
      <c r="G61">
        <v>0.39146192798286999</v>
      </c>
      <c r="H61">
        <v>21040</v>
      </c>
      <c r="I61">
        <v>26.6</v>
      </c>
      <c r="J61">
        <v>29588979933.493454</v>
      </c>
      <c r="K61">
        <v>4710</v>
      </c>
      <c r="L61">
        <v>70027629768.173752</v>
      </c>
      <c r="M61">
        <v>11150</v>
      </c>
      <c r="N61">
        <v>5.6</v>
      </c>
      <c r="O61">
        <v>71.968999999999994</v>
      </c>
      <c r="P61">
        <v>1.7849999999999999</v>
      </c>
      <c r="Q61">
        <v>54.881</v>
      </c>
      <c r="T61">
        <v>10.8</v>
      </c>
      <c r="V61">
        <v>80</v>
      </c>
      <c r="W61">
        <v>79.718625498007995</v>
      </c>
      <c r="X61">
        <v>65.226782491305798</v>
      </c>
      <c r="Z61">
        <v>0.4</v>
      </c>
      <c r="AA61">
        <v>5748.8</v>
      </c>
      <c r="AB61">
        <v>14.112202207024284</v>
      </c>
      <c r="AC61">
        <v>768.68342949214673</v>
      </c>
      <c r="AD61">
        <v>1109.9754646220997</v>
      </c>
      <c r="AE61">
        <v>31870120000</v>
      </c>
      <c r="AF61">
        <v>2.9546151654988932</v>
      </c>
      <c r="AG61">
        <v>6.5845634621845903</v>
      </c>
      <c r="AH61">
        <v>4.5587528380815634</v>
      </c>
      <c r="AI61">
        <v>23.731947040048798</v>
      </c>
      <c r="AJ61">
        <v>32.433483149733981</v>
      </c>
      <c r="AK61">
        <v>56.267626227952704</v>
      </c>
      <c r="AL61">
        <v>24.471574000976464</v>
      </c>
      <c r="AM61">
        <v>28.191923971418998</v>
      </c>
      <c r="AO61">
        <v>1.4332901174317501</v>
      </c>
      <c r="AP61">
        <v>183.249</v>
      </c>
      <c r="AQ61">
        <v>7.8500188873405961</v>
      </c>
      <c r="AR61">
        <v>76.00536176205172</v>
      </c>
      <c r="AS61">
        <v>91.6</v>
      </c>
      <c r="AT61">
        <v>21188282065.599998</v>
      </c>
      <c r="AU61">
        <v>11.270755565484803</v>
      </c>
      <c r="AV61">
        <v>-23255</v>
      </c>
      <c r="AW61">
        <v>274944407.75999802</v>
      </c>
      <c r="AX61">
        <v>26235086.590000499</v>
      </c>
      <c r="AY61">
        <v>112.92954729576141</v>
      </c>
      <c r="AZ61">
        <v>5074.6021022180557</v>
      </c>
      <c r="BA61">
        <v>-143212254.252316</v>
      </c>
      <c r="BB61">
        <v>7.1986161560986677</v>
      </c>
    </row>
    <row r="62" spans="1:54" x14ac:dyDescent="0.25">
      <c r="A62">
        <v>60</v>
      </c>
      <c r="B62">
        <v>2022</v>
      </c>
      <c r="C62" t="s">
        <v>54</v>
      </c>
      <c r="D62" t="s">
        <v>175</v>
      </c>
      <c r="E62" t="s">
        <v>176</v>
      </c>
      <c r="F62">
        <v>1803545</v>
      </c>
      <c r="G62">
        <v>2.5130374213272</v>
      </c>
      <c r="H62">
        <v>28050</v>
      </c>
      <c r="I62">
        <v>50.7</v>
      </c>
      <c r="J62">
        <v>8235168490.4831991</v>
      </c>
      <c r="K62">
        <v>4570</v>
      </c>
      <c r="L62">
        <v>21344996864.263313</v>
      </c>
      <c r="M62">
        <v>11840</v>
      </c>
      <c r="N62">
        <v>6.4</v>
      </c>
      <c r="O62">
        <v>63.354999999999997</v>
      </c>
      <c r="P62">
        <v>4.17</v>
      </c>
      <c r="Q62">
        <v>152.14599999999999</v>
      </c>
      <c r="T62">
        <v>73.400000000000006</v>
      </c>
      <c r="V62">
        <v>49</v>
      </c>
      <c r="AA62">
        <v>24317</v>
      </c>
      <c r="AB62">
        <v>503.19298310149833</v>
      </c>
      <c r="AC62">
        <v>1283.9351679017047</v>
      </c>
      <c r="AD62">
        <v>744.64457498981176</v>
      </c>
      <c r="AE62">
        <v>13687643435.624901</v>
      </c>
      <c r="AF62">
        <v>3.2235083165859777</v>
      </c>
      <c r="AG62">
        <v>22.100408726045458</v>
      </c>
      <c r="AH62">
        <v>2.4897830321452545</v>
      </c>
      <c r="AI62">
        <v>56.210999061783554</v>
      </c>
      <c r="AJ62">
        <v>52.967085202511456</v>
      </c>
      <c r="AK62">
        <v>28.84593093429844</v>
      </c>
      <c r="AL62">
        <v>7.3381547043715374</v>
      </c>
      <c r="AM62">
        <v>26.449875779906627</v>
      </c>
      <c r="AO62">
        <v>1.3031878031878001</v>
      </c>
      <c r="AP62">
        <v>49.537999999999997</v>
      </c>
      <c r="AR62">
        <v>61.712595303402985</v>
      </c>
      <c r="AS62">
        <v>195.7</v>
      </c>
      <c r="AV62">
        <v>3997</v>
      </c>
      <c r="AX62">
        <v>1388191640</v>
      </c>
      <c r="AY62">
        <v>6.8853567645892948</v>
      </c>
      <c r="AZ62">
        <v>7589.2996490938131</v>
      </c>
      <c r="BB62">
        <v>4.7867170471080298</v>
      </c>
    </row>
    <row r="63" spans="1:54" x14ac:dyDescent="0.25">
      <c r="A63">
        <v>61</v>
      </c>
      <c r="B63">
        <v>2022</v>
      </c>
      <c r="C63" t="s">
        <v>54</v>
      </c>
      <c r="D63" t="s">
        <v>177</v>
      </c>
      <c r="E63" t="s">
        <v>178</v>
      </c>
      <c r="F63">
        <v>3409447</v>
      </c>
      <c r="G63">
        <v>1.75351368458045</v>
      </c>
      <c r="H63">
        <v>121765.8</v>
      </c>
      <c r="O63">
        <v>67.789000000000001</v>
      </c>
      <c r="P63">
        <v>3.786</v>
      </c>
      <c r="Q63">
        <v>65.724000000000004</v>
      </c>
      <c r="T63">
        <v>36.6</v>
      </c>
      <c r="V63">
        <v>93</v>
      </c>
      <c r="W63">
        <v>61.2794189453125</v>
      </c>
      <c r="X63">
        <v>44.0441284179688</v>
      </c>
      <c r="Z63">
        <v>0.5</v>
      </c>
      <c r="AA63">
        <v>10489.4</v>
      </c>
      <c r="AC63">
        <v>289.54779468364899</v>
      </c>
      <c r="AD63">
        <v>102.36264121424971</v>
      </c>
      <c r="AP63">
        <v>59.1248</v>
      </c>
      <c r="AR63">
        <v>37.031677018030038</v>
      </c>
      <c r="AS63">
        <v>100.5</v>
      </c>
      <c r="AT63">
        <v>727107699.5</v>
      </c>
      <c r="AV63">
        <v>-17134</v>
      </c>
      <c r="AX63">
        <v>-32045670</v>
      </c>
      <c r="AY63">
        <v>18.621044675217185</v>
      </c>
    </row>
    <row r="64" spans="1:54" x14ac:dyDescent="0.25">
      <c r="A64">
        <v>62</v>
      </c>
      <c r="B64">
        <v>2022</v>
      </c>
      <c r="C64" t="s">
        <v>54</v>
      </c>
      <c r="D64" t="s">
        <v>179</v>
      </c>
      <c r="E64" t="s">
        <v>180</v>
      </c>
      <c r="F64">
        <v>1348840</v>
      </c>
      <c r="G64">
        <v>1.3365515114828601</v>
      </c>
      <c r="H64">
        <v>45340</v>
      </c>
      <c r="I64">
        <v>22.5</v>
      </c>
      <c r="J64">
        <v>37197345918.060577</v>
      </c>
      <c r="K64">
        <v>27580</v>
      </c>
      <c r="L64">
        <v>62956030035.172958</v>
      </c>
      <c r="M64">
        <v>46670</v>
      </c>
      <c r="N64">
        <v>7.7</v>
      </c>
      <c r="O64">
        <v>77.84390243902439</v>
      </c>
      <c r="P64">
        <v>1.41</v>
      </c>
      <c r="Q64">
        <v>5.3440000000000003</v>
      </c>
      <c r="T64">
        <v>2.2000000000000002</v>
      </c>
      <c r="V64">
        <v>87</v>
      </c>
      <c r="W64">
        <v>98.522392272949205</v>
      </c>
      <c r="X64">
        <v>112.55184936523401</v>
      </c>
      <c r="Z64">
        <v>0.8</v>
      </c>
      <c r="AA64">
        <v>24384</v>
      </c>
      <c r="AB64">
        <v>23.523528962353222</v>
      </c>
      <c r="AC64">
        <v>3559.0489316047788</v>
      </c>
      <c r="AD64">
        <v>6464.0728329527592</v>
      </c>
      <c r="AE64">
        <v>38226641740.290031</v>
      </c>
      <c r="AF64">
        <v>-1.2261696658779613</v>
      </c>
      <c r="AG64">
        <v>16.844809078341044</v>
      </c>
      <c r="AH64">
        <v>2.4464085999787279</v>
      </c>
      <c r="AI64">
        <v>23.090768453378615</v>
      </c>
      <c r="AJ64">
        <v>87.429938083950304</v>
      </c>
      <c r="AK64">
        <v>88.257181421289872</v>
      </c>
      <c r="AL64">
        <v>27.72790898700741</v>
      </c>
      <c r="AM64">
        <v>35.105164118811622</v>
      </c>
      <c r="AO64">
        <v>2.1348521096382402</v>
      </c>
      <c r="AP64">
        <v>152.27099999999999</v>
      </c>
      <c r="AQ64">
        <v>18.01864383156159</v>
      </c>
      <c r="AR64">
        <v>129.80999046981287</v>
      </c>
      <c r="AS64">
        <v>98.5</v>
      </c>
      <c r="AV64">
        <v>39754</v>
      </c>
      <c r="AW64">
        <v>332424142.58625603</v>
      </c>
      <c r="AX64">
        <v>1877817161.42291</v>
      </c>
      <c r="AZ64">
        <v>28340.382654940564</v>
      </c>
      <c r="BA64">
        <v>-164683262.654944</v>
      </c>
      <c r="BB64">
        <v>19.39826340806162</v>
      </c>
    </row>
    <row r="65" spans="1:54" x14ac:dyDescent="0.25">
      <c r="A65">
        <v>63</v>
      </c>
      <c r="B65">
        <v>2022</v>
      </c>
      <c r="C65" t="s">
        <v>54</v>
      </c>
      <c r="D65" t="s">
        <v>181</v>
      </c>
      <c r="E65" t="s">
        <v>182</v>
      </c>
      <c r="F65">
        <v>1218917</v>
      </c>
      <c r="G65">
        <v>1.01620740015869</v>
      </c>
      <c r="H65">
        <v>17360</v>
      </c>
      <c r="J65">
        <v>4453526872.5176525</v>
      </c>
      <c r="K65">
        <v>3650</v>
      </c>
      <c r="L65">
        <v>11934668740.592226</v>
      </c>
      <c r="M65">
        <v>9790</v>
      </c>
      <c r="O65">
        <v>63.027999999999999</v>
      </c>
      <c r="P65">
        <v>2.8010000000000002</v>
      </c>
      <c r="Q65">
        <v>69.772999999999996</v>
      </c>
      <c r="R65">
        <v>57.7</v>
      </c>
      <c r="T65">
        <v>46.2</v>
      </c>
      <c r="V65">
        <v>83</v>
      </c>
      <c r="W65">
        <v>105.578895575489</v>
      </c>
      <c r="X65">
        <v>88.291358947753906</v>
      </c>
      <c r="Z65">
        <v>25.2</v>
      </c>
      <c r="AA65">
        <v>4999.8</v>
      </c>
      <c r="AB65">
        <v>4.2178746152661342</v>
      </c>
      <c r="AC65">
        <v>958.91694375088696</v>
      </c>
      <c r="AD65">
        <v>1137.0749608053707</v>
      </c>
      <c r="AE65">
        <v>4746660273.5082855</v>
      </c>
      <c r="AF65">
        <v>0.38607083556270538</v>
      </c>
      <c r="AG65">
        <v>8.8686547002656795</v>
      </c>
      <c r="AH65">
        <v>7.5711695672315686</v>
      </c>
      <c r="AI65">
        <v>34.686378309899183</v>
      </c>
      <c r="AJ65">
        <v>44.495393721387323</v>
      </c>
      <c r="AK65">
        <v>48.076193408446031</v>
      </c>
      <c r="AL65">
        <v>22.092560453843866</v>
      </c>
      <c r="AO65">
        <v>1.65499533493805</v>
      </c>
      <c r="AP65">
        <v>121.492</v>
      </c>
      <c r="AQ65">
        <v>0.31591177017993011</v>
      </c>
      <c r="AR65">
        <v>86.692532494190445</v>
      </c>
      <c r="AS65">
        <v>81.900000000000006</v>
      </c>
      <c r="AT65">
        <v>1247997284.2</v>
      </c>
      <c r="AU65">
        <v>1.9484870675254968</v>
      </c>
      <c r="AV65">
        <v>-8549</v>
      </c>
      <c r="AW65">
        <v>40562436.169229999</v>
      </c>
      <c r="AX65">
        <v>13350248.303288899</v>
      </c>
      <c r="AY65">
        <v>80.093592431847284</v>
      </c>
      <c r="AZ65">
        <v>3894.1620089869011</v>
      </c>
      <c r="BA65">
        <v>-35061312.444035001</v>
      </c>
    </row>
    <row r="66" spans="1:54" x14ac:dyDescent="0.25">
      <c r="A66">
        <v>64</v>
      </c>
      <c r="B66">
        <v>2022</v>
      </c>
      <c r="C66" t="s">
        <v>54</v>
      </c>
      <c r="D66" t="s">
        <v>183</v>
      </c>
      <c r="E66" t="s">
        <v>184</v>
      </c>
      <c r="F66">
        <v>125384287</v>
      </c>
      <c r="G66">
        <v>2.6226950093610402</v>
      </c>
      <c r="H66">
        <v>1136239.7</v>
      </c>
      <c r="J66">
        <v>120562000166.70862</v>
      </c>
      <c r="K66">
        <v>960</v>
      </c>
      <c r="L66">
        <v>355094428987.11713</v>
      </c>
      <c r="M66">
        <v>2830</v>
      </c>
      <c r="O66">
        <v>66.897000000000006</v>
      </c>
      <c r="P66">
        <v>4.0819999999999999</v>
      </c>
      <c r="Q66">
        <v>71.137</v>
      </c>
      <c r="T66">
        <v>48.2</v>
      </c>
      <c r="V66">
        <v>62</v>
      </c>
      <c r="W66">
        <v>60.901122842635502</v>
      </c>
      <c r="Z66">
        <v>0.8</v>
      </c>
      <c r="AA66">
        <v>169225</v>
      </c>
      <c r="AB66">
        <v>9.6423944806974422</v>
      </c>
      <c r="AC66">
        <v>377.92175273109223</v>
      </c>
      <c r="AD66">
        <v>92.435824913212613</v>
      </c>
      <c r="AE66">
        <v>123140304666</v>
      </c>
      <c r="AF66">
        <v>5.3217598840337814</v>
      </c>
      <c r="AG66">
        <v>34.666605000446992</v>
      </c>
      <c r="AH66">
        <v>37.642226838503476</v>
      </c>
      <c r="AI66">
        <v>22.717526959086662</v>
      </c>
      <c r="AJ66">
        <v>8.2439603779890174</v>
      </c>
      <c r="AK66">
        <v>18.351539318742262</v>
      </c>
      <c r="AL66">
        <v>25.342226825443575</v>
      </c>
      <c r="AM66">
        <v>5.0557191789366627</v>
      </c>
      <c r="AO66">
        <v>1.5059407275618599</v>
      </c>
      <c r="AP66">
        <v>56.964300000000001</v>
      </c>
      <c r="AQ66">
        <v>3.2102657493605782</v>
      </c>
      <c r="AR66">
        <v>18.379847330562232</v>
      </c>
      <c r="AS66">
        <v>100.5</v>
      </c>
      <c r="AT66">
        <v>30620768251.900002</v>
      </c>
      <c r="AU66">
        <v>1.6421628904119503</v>
      </c>
      <c r="AV66">
        <v>-11996</v>
      </c>
      <c r="AW66">
        <v>20498638.923725002</v>
      </c>
      <c r="AX66">
        <v>3669991332.17485</v>
      </c>
      <c r="AY66">
        <v>39.321282706610198</v>
      </c>
      <c r="AZ66">
        <v>982.10316150699168</v>
      </c>
      <c r="BA66">
        <v>-3669991332.17485</v>
      </c>
      <c r="BB66">
        <v>33.889879710089829</v>
      </c>
    </row>
    <row r="67" spans="1:54" x14ac:dyDescent="0.25">
      <c r="A67">
        <v>65</v>
      </c>
      <c r="B67">
        <v>2022</v>
      </c>
      <c r="C67" t="s">
        <v>54</v>
      </c>
      <c r="D67" t="s">
        <v>185</v>
      </c>
      <c r="E67" t="s">
        <v>186</v>
      </c>
      <c r="F67">
        <v>53912</v>
      </c>
      <c r="G67">
        <v>1.14918061925921</v>
      </c>
      <c r="H67">
        <v>12960</v>
      </c>
      <c r="J67">
        <v>3933511113.1319413</v>
      </c>
      <c r="K67">
        <v>72960</v>
      </c>
      <c r="L67">
        <v>4157999407.9216542</v>
      </c>
      <c r="M67">
        <v>77130</v>
      </c>
      <c r="O67">
        <v>82.943902439024413</v>
      </c>
      <c r="P67">
        <v>2.0712999999999999</v>
      </c>
      <c r="Q67">
        <v>4.7670000000000003</v>
      </c>
      <c r="AA67">
        <v>0.8</v>
      </c>
      <c r="AE67">
        <v>3615241800.5005755</v>
      </c>
      <c r="AF67">
        <v>3.860999816691546</v>
      </c>
      <c r="AG67">
        <v>5.8965035432858315</v>
      </c>
      <c r="AH67">
        <v>18.735829880384646</v>
      </c>
      <c r="AI67">
        <v>17.731217262137442</v>
      </c>
      <c r="AJ67">
        <v>61.374403877726522</v>
      </c>
      <c r="AK67">
        <v>61.488937534203735</v>
      </c>
      <c r="AL67">
        <v>32.323508717066687</v>
      </c>
      <c r="AP67">
        <v>105.804</v>
      </c>
      <c r="AS67">
        <v>103.6</v>
      </c>
      <c r="AV67">
        <v>614</v>
      </c>
      <c r="AZ67">
        <v>67058.202264812571</v>
      </c>
    </row>
    <row r="68" spans="1:54" x14ac:dyDescent="0.25">
      <c r="A68">
        <v>66</v>
      </c>
      <c r="B68">
        <v>2022</v>
      </c>
      <c r="C68" t="s">
        <v>54</v>
      </c>
      <c r="D68" t="s">
        <v>187</v>
      </c>
      <c r="E68" t="s">
        <v>188</v>
      </c>
      <c r="F68">
        <v>919422</v>
      </c>
      <c r="G68">
        <v>0.295294727557318</v>
      </c>
      <c r="H68">
        <v>18270</v>
      </c>
      <c r="J68">
        <v>4829525699.5510731</v>
      </c>
      <c r="K68">
        <v>5250</v>
      </c>
      <c r="L68">
        <v>11301178213.254747</v>
      </c>
      <c r="M68">
        <v>12290</v>
      </c>
      <c r="O68">
        <v>67.147999999999996</v>
      </c>
      <c r="P68">
        <v>2.3050000000000002</v>
      </c>
      <c r="Q68">
        <v>21.271000000000001</v>
      </c>
      <c r="T68">
        <v>28.9</v>
      </c>
      <c r="V68">
        <v>99</v>
      </c>
      <c r="W68">
        <v>116.08362534893401</v>
      </c>
      <c r="X68">
        <v>95.306833969749107</v>
      </c>
      <c r="Z68">
        <v>0.7</v>
      </c>
      <c r="AA68">
        <v>11533.8</v>
      </c>
      <c r="AB68">
        <v>57.304323674329851</v>
      </c>
      <c r="AE68">
        <v>4977861885.6031618</v>
      </c>
      <c r="AF68">
        <v>17.745126977359433</v>
      </c>
      <c r="AG68">
        <v>8.0740526802806585</v>
      </c>
      <c r="AH68">
        <v>14.192894883330442</v>
      </c>
      <c r="AI68">
        <v>17.793818384238431</v>
      </c>
      <c r="AM68">
        <v>20.770709790752214</v>
      </c>
      <c r="AO68">
        <v>1.3609076994601499</v>
      </c>
      <c r="AP68">
        <v>111.749</v>
      </c>
      <c r="AQ68">
        <v>2.2412458775445341</v>
      </c>
      <c r="AR68">
        <v>81.400410319118848</v>
      </c>
      <c r="AS68">
        <v>89.7</v>
      </c>
      <c r="AT68">
        <v>2988044051.5</v>
      </c>
      <c r="AU68">
        <v>4.0876470938081439</v>
      </c>
      <c r="AV68">
        <v>-3557</v>
      </c>
      <c r="AW68">
        <v>13569840.504840299</v>
      </c>
      <c r="AX68">
        <v>103581591.564163</v>
      </c>
      <c r="AY68">
        <v>392.68561414085042</v>
      </c>
      <c r="AZ68">
        <v>5414.1209211908808</v>
      </c>
      <c r="BA68">
        <v>-86910439.13607879</v>
      </c>
      <c r="BB68">
        <v>4.320118562430558</v>
      </c>
    </row>
    <row r="69" spans="1:54" x14ac:dyDescent="0.25">
      <c r="A69">
        <v>67</v>
      </c>
      <c r="B69">
        <v>2022</v>
      </c>
      <c r="C69" t="s">
        <v>54</v>
      </c>
      <c r="D69" t="s">
        <v>189</v>
      </c>
      <c r="E69" t="s">
        <v>190</v>
      </c>
      <c r="F69">
        <v>5556106</v>
      </c>
      <c r="G69">
        <v>0.271944526506117</v>
      </c>
      <c r="H69">
        <v>338470</v>
      </c>
      <c r="I69">
        <v>12.2</v>
      </c>
      <c r="J69">
        <v>300681438877.66089</v>
      </c>
      <c r="K69">
        <v>54120</v>
      </c>
      <c r="L69">
        <v>343885398856.2926</v>
      </c>
      <c r="M69">
        <v>61890</v>
      </c>
      <c r="N69">
        <v>9.3000000000000007</v>
      </c>
      <c r="O69">
        <v>81.187804878048794</v>
      </c>
      <c r="P69">
        <v>1.32</v>
      </c>
      <c r="Q69">
        <v>3.2210000000000001</v>
      </c>
      <c r="T69">
        <v>2.2999999999999998</v>
      </c>
      <c r="V69">
        <v>94</v>
      </c>
      <c r="W69">
        <v>98.383079528808594</v>
      </c>
      <c r="X69">
        <v>144.852462768555</v>
      </c>
      <c r="AA69">
        <v>224090</v>
      </c>
      <c r="AB69">
        <v>85.223534241586421</v>
      </c>
      <c r="AC69">
        <v>5683.9510215791415</v>
      </c>
      <c r="AD69">
        <v>14738.199739169842</v>
      </c>
      <c r="AE69">
        <v>280253099309.3396</v>
      </c>
      <c r="AF69">
        <v>0.7630419127635264</v>
      </c>
      <c r="AG69">
        <v>6.1727807570279225</v>
      </c>
      <c r="AH69">
        <v>2.2413436789599261</v>
      </c>
      <c r="AI69">
        <v>25.180829278373757</v>
      </c>
      <c r="AJ69">
        <v>46.284780280684615</v>
      </c>
      <c r="AK69">
        <v>48.277753771582091</v>
      </c>
      <c r="AL69">
        <v>27.285400266781895</v>
      </c>
      <c r="AM69">
        <v>37.181505626843517</v>
      </c>
      <c r="AO69">
        <v>1.58854518946055</v>
      </c>
      <c r="AP69">
        <v>128.023</v>
      </c>
      <c r="AQ69">
        <v>9.6239284366748397</v>
      </c>
      <c r="AR69">
        <v>65.440132670064699</v>
      </c>
      <c r="AS69">
        <v>96.5</v>
      </c>
      <c r="AV69">
        <v>60353</v>
      </c>
      <c r="AW69">
        <v>1479117309.7943699</v>
      </c>
      <c r="AX69">
        <v>13079164235.1595</v>
      </c>
      <c r="AZ69">
        <v>50440.56022497404</v>
      </c>
      <c r="BA69">
        <v>8978038357.68396</v>
      </c>
      <c r="BB69">
        <v>7.1235077330140237</v>
      </c>
    </row>
    <row r="70" spans="1:54" x14ac:dyDescent="0.25">
      <c r="A70">
        <v>68</v>
      </c>
      <c r="B70">
        <v>2022</v>
      </c>
      <c r="C70" t="s">
        <v>54</v>
      </c>
      <c r="D70" t="s">
        <v>191</v>
      </c>
      <c r="E70" t="s">
        <v>192</v>
      </c>
      <c r="F70">
        <v>68184457</v>
      </c>
      <c r="G70">
        <v>0.50232092933797601</v>
      </c>
      <c r="H70">
        <v>606410</v>
      </c>
      <c r="J70">
        <v>3136847668204.3911</v>
      </c>
      <c r="K70">
        <v>46010</v>
      </c>
      <c r="L70">
        <v>3930636934420.0913</v>
      </c>
      <c r="M70">
        <v>57650</v>
      </c>
      <c r="N70">
        <v>7.8</v>
      </c>
      <c r="O70">
        <v>82.129268292682937</v>
      </c>
      <c r="P70">
        <v>1.79</v>
      </c>
      <c r="Q70">
        <v>3.9790000000000001</v>
      </c>
      <c r="T70">
        <v>4.3</v>
      </c>
      <c r="V70">
        <v>95</v>
      </c>
      <c r="X70">
        <v>104.316436767578</v>
      </c>
      <c r="Z70">
        <v>0.3</v>
      </c>
      <c r="AA70">
        <v>174198</v>
      </c>
      <c r="AB70">
        <v>108.49242382008769</v>
      </c>
      <c r="AC70">
        <v>3100.1897815932011</v>
      </c>
      <c r="AD70">
        <v>6649.3893175683716</v>
      </c>
      <c r="AE70">
        <v>2794788137066.937</v>
      </c>
      <c r="AF70">
        <v>2.716762641859134</v>
      </c>
      <c r="AG70">
        <v>3.0181842077809904</v>
      </c>
      <c r="AH70">
        <v>1.7201713701883332</v>
      </c>
      <c r="AI70">
        <v>15.769153788104976</v>
      </c>
      <c r="AJ70">
        <v>36.616048426878521</v>
      </c>
      <c r="AK70">
        <v>39.34695937132112</v>
      </c>
      <c r="AL70">
        <v>24.023352398412477</v>
      </c>
      <c r="AM70">
        <v>44.278991703533073</v>
      </c>
      <c r="AO70">
        <v>1.9577206747670299</v>
      </c>
      <c r="AP70">
        <v>115.95099999999999</v>
      </c>
      <c r="AQ70">
        <v>22.983183444706302</v>
      </c>
      <c r="AR70">
        <v>51.656044365320099</v>
      </c>
      <c r="AS70">
        <v>94.8</v>
      </c>
      <c r="AV70">
        <v>179377</v>
      </c>
      <c r="AW70">
        <v>18405718078.6418</v>
      </c>
      <c r="AX70">
        <v>112295479269.655</v>
      </c>
      <c r="AZ70">
        <v>40988.639640657944</v>
      </c>
      <c r="BA70">
        <v>-9303583097.8218803</v>
      </c>
      <c r="BB70">
        <v>5.2223674836973508</v>
      </c>
    </row>
    <row r="71" spans="1:54" x14ac:dyDescent="0.25">
      <c r="A71">
        <v>69</v>
      </c>
      <c r="B71">
        <v>2022</v>
      </c>
      <c r="C71" t="s">
        <v>54</v>
      </c>
      <c r="D71" t="s">
        <v>193</v>
      </c>
      <c r="E71" t="s">
        <v>194</v>
      </c>
      <c r="F71">
        <v>280378</v>
      </c>
      <c r="G71">
        <v>0.20922227672414301</v>
      </c>
      <c r="H71">
        <v>3471</v>
      </c>
      <c r="J71">
        <v>6770082339.6332092</v>
      </c>
      <c r="K71">
        <v>24150</v>
      </c>
      <c r="O71">
        <v>83.858999999999995</v>
      </c>
      <c r="P71">
        <v>1.5149999999999999</v>
      </c>
      <c r="Q71">
        <v>24.725000000000001</v>
      </c>
      <c r="AA71">
        <v>1494.6</v>
      </c>
      <c r="AE71">
        <v>5622688338.0631676</v>
      </c>
      <c r="AF71">
        <v>2.9373470716322032</v>
      </c>
      <c r="AG71">
        <v>2.4893100278038389</v>
      </c>
      <c r="AJ71">
        <v>21.817121738598907</v>
      </c>
      <c r="AK71">
        <v>47.709280583545315</v>
      </c>
      <c r="AL71">
        <v>22.506743402750022</v>
      </c>
      <c r="AP71">
        <v>116.866</v>
      </c>
      <c r="AQ71">
        <v>9.9820963917027665</v>
      </c>
      <c r="AR71">
        <v>41.385896924914313</v>
      </c>
      <c r="AS71">
        <v>89.3</v>
      </c>
      <c r="AV71">
        <v>-1348</v>
      </c>
      <c r="AX71">
        <v>-9480300</v>
      </c>
      <c r="AZ71">
        <v>20053.956936932169</v>
      </c>
    </row>
    <row r="72" spans="1:54" x14ac:dyDescent="0.25">
      <c r="A72">
        <v>70</v>
      </c>
      <c r="B72">
        <v>2022</v>
      </c>
      <c r="C72" t="s">
        <v>54</v>
      </c>
      <c r="D72" t="s">
        <v>195</v>
      </c>
      <c r="E72" t="s">
        <v>196</v>
      </c>
      <c r="F72">
        <v>2430747</v>
      </c>
      <c r="G72">
        <v>2.2476390125379702</v>
      </c>
      <c r="H72">
        <v>267670</v>
      </c>
      <c r="J72">
        <v>18060756451.415771</v>
      </c>
      <c r="K72">
        <v>7430</v>
      </c>
      <c r="L72">
        <v>44956865249.51091</v>
      </c>
      <c r="M72">
        <v>18500</v>
      </c>
      <c r="O72">
        <v>67.712999999999994</v>
      </c>
      <c r="P72">
        <v>3.7120000000000002</v>
      </c>
      <c r="Q72">
        <v>93.319000000000003</v>
      </c>
      <c r="T72">
        <v>34.1</v>
      </c>
      <c r="V72">
        <v>52</v>
      </c>
      <c r="Z72">
        <v>3</v>
      </c>
      <c r="AA72">
        <v>235068.4</v>
      </c>
      <c r="AB72">
        <v>114.06655270375873</v>
      </c>
      <c r="AC72">
        <v>2096.2456480630976</v>
      </c>
      <c r="AD72">
        <v>1065.1046776978435</v>
      </c>
      <c r="AE72">
        <v>20440655695.180443</v>
      </c>
      <c r="AF72">
        <v>3.0376144953065705</v>
      </c>
      <c r="AG72">
        <v>14.758342683153344</v>
      </c>
      <c r="AH72">
        <v>6.5061694158167453</v>
      </c>
      <c r="AI72">
        <v>56.12974144127358</v>
      </c>
      <c r="AJ72">
        <v>67.578733193456813</v>
      </c>
      <c r="AK72">
        <v>24.484355656556268</v>
      </c>
      <c r="AL72">
        <v>16.026940487958342</v>
      </c>
      <c r="AO72">
        <v>1.3582460776711001</v>
      </c>
      <c r="AP72">
        <v>123.233</v>
      </c>
      <c r="AQ72">
        <v>3.9075849423199847</v>
      </c>
      <c r="AR72">
        <v>71.083825375650378</v>
      </c>
      <c r="AS72">
        <v>135.4</v>
      </c>
      <c r="AT72">
        <v>7990531656.8999996</v>
      </c>
      <c r="AU72">
        <v>3.0958802679686928</v>
      </c>
      <c r="AV72">
        <v>987</v>
      </c>
      <c r="AX72">
        <v>1104592040</v>
      </c>
      <c r="AY72">
        <v>55.449173940359906</v>
      </c>
      <c r="AZ72">
        <v>8409.2074145028018</v>
      </c>
      <c r="BB72">
        <v>4.2312479827457947</v>
      </c>
    </row>
    <row r="73" spans="1:54" x14ac:dyDescent="0.25">
      <c r="A73">
        <v>71</v>
      </c>
      <c r="B73">
        <v>2022</v>
      </c>
      <c r="C73" t="s">
        <v>54</v>
      </c>
      <c r="D73" t="s">
        <v>197</v>
      </c>
      <c r="E73" t="s">
        <v>198</v>
      </c>
      <c r="F73">
        <v>2636470</v>
      </c>
      <c r="G73">
        <v>2.31992109797091</v>
      </c>
      <c r="H73">
        <v>11300</v>
      </c>
      <c r="J73">
        <v>2178025785.0458398</v>
      </c>
      <c r="K73">
        <v>830</v>
      </c>
      <c r="L73">
        <v>7972453234.0154991</v>
      </c>
      <c r="M73">
        <v>3020</v>
      </c>
      <c r="O73">
        <v>64.858999999999995</v>
      </c>
      <c r="P73">
        <v>4.0780000000000003</v>
      </c>
      <c r="Q73">
        <v>59.158000000000001</v>
      </c>
      <c r="T73">
        <v>45.6</v>
      </c>
      <c r="V73">
        <v>74</v>
      </c>
      <c r="W73">
        <v>80.331696076647901</v>
      </c>
      <c r="Z73">
        <v>1.4</v>
      </c>
      <c r="AA73">
        <v>2312.011</v>
      </c>
      <c r="AB73">
        <v>18.441977363134271</v>
      </c>
      <c r="AE73">
        <v>2204734527.88096</v>
      </c>
      <c r="AF73">
        <v>5.4929982301011364</v>
      </c>
      <c r="AG73">
        <v>8.8170758037689581</v>
      </c>
      <c r="AH73">
        <v>22.860438578159258</v>
      </c>
      <c r="AI73">
        <v>15.58896952629566</v>
      </c>
      <c r="AJ73">
        <v>8.5698506322659345</v>
      </c>
      <c r="AK73">
        <v>36.152070904680656</v>
      </c>
      <c r="AL73">
        <v>28.623649207263462</v>
      </c>
      <c r="AO73">
        <v>0.70592316336002503</v>
      </c>
      <c r="AP73">
        <v>106.782</v>
      </c>
      <c r="AQ73">
        <v>3.2124882300216684</v>
      </c>
      <c r="AR73">
        <v>38.553394490399796</v>
      </c>
      <c r="AS73">
        <v>95.6</v>
      </c>
      <c r="AT73">
        <v>1179606116.4000001</v>
      </c>
      <c r="AU73">
        <v>1.9062547299861163</v>
      </c>
      <c r="AV73">
        <v>-3000</v>
      </c>
      <c r="AW73">
        <v>21148937.061900798</v>
      </c>
      <c r="AX73">
        <v>231488000</v>
      </c>
      <c r="AY73">
        <v>103.32327768714531</v>
      </c>
      <c r="AZ73">
        <v>836.24487586847567</v>
      </c>
      <c r="BA73">
        <v>-231488000</v>
      </c>
      <c r="BB73">
        <v>11.513119838050491</v>
      </c>
    </row>
    <row r="74" spans="1:54" x14ac:dyDescent="0.25">
      <c r="A74">
        <v>72</v>
      </c>
      <c r="B74">
        <v>2022</v>
      </c>
      <c r="C74" t="s">
        <v>54</v>
      </c>
      <c r="D74" t="s">
        <v>199</v>
      </c>
      <c r="E74" t="s">
        <v>200</v>
      </c>
      <c r="F74">
        <v>3712502</v>
      </c>
      <c r="G74">
        <v>0.104889950638883</v>
      </c>
      <c r="H74">
        <v>69700</v>
      </c>
      <c r="I74">
        <v>15.6</v>
      </c>
      <c r="J74">
        <v>21107767052.276005</v>
      </c>
      <c r="K74">
        <v>5690</v>
      </c>
      <c r="L74">
        <v>77588062040.688004</v>
      </c>
      <c r="M74">
        <v>20900</v>
      </c>
      <c r="N74">
        <v>7</v>
      </c>
      <c r="O74">
        <v>74.141000000000005</v>
      </c>
      <c r="P74">
        <v>1.82</v>
      </c>
      <c r="Q74">
        <v>21.510999999999999</v>
      </c>
      <c r="T74">
        <v>9.3000000000000007</v>
      </c>
      <c r="V74">
        <v>90</v>
      </c>
      <c r="W74">
        <v>110.788199031264</v>
      </c>
      <c r="X74">
        <v>103.710205488304</v>
      </c>
      <c r="Z74">
        <v>0.4</v>
      </c>
      <c r="AA74">
        <v>28224</v>
      </c>
      <c r="AB74">
        <v>16.465417675558943</v>
      </c>
      <c r="AC74">
        <v>1543.5837998241132</v>
      </c>
      <c r="AD74">
        <v>3682.9609788762405</v>
      </c>
      <c r="AE74">
        <v>24984568959.604965</v>
      </c>
      <c r="AF74">
        <v>10.95853213856239</v>
      </c>
      <c r="AG74">
        <v>8.1354501438480611</v>
      </c>
      <c r="AH74">
        <v>6.6323552017567939</v>
      </c>
      <c r="AI74">
        <v>21.329779714520999</v>
      </c>
      <c r="AJ74">
        <v>52.478879220422726</v>
      </c>
      <c r="AK74">
        <v>62.216558468295361</v>
      </c>
      <c r="AL74">
        <v>24.066662777930279</v>
      </c>
      <c r="AM74">
        <v>26.489157287949496</v>
      </c>
      <c r="AO74">
        <v>1.60787681983081</v>
      </c>
      <c r="AP74">
        <v>154.01400000000001</v>
      </c>
      <c r="AQ74">
        <v>2.9492009025545625</v>
      </c>
      <c r="AR74">
        <v>76.539243206148782</v>
      </c>
      <c r="AS74">
        <v>95.3</v>
      </c>
      <c r="AT74">
        <v>23319530472.200001</v>
      </c>
      <c r="AU74">
        <v>13.294833174309417</v>
      </c>
      <c r="AV74">
        <v>26999</v>
      </c>
      <c r="AW74">
        <v>290325550.37</v>
      </c>
      <c r="AX74">
        <v>2257736899.8499999</v>
      </c>
      <c r="AY74">
        <v>101.49529432019081</v>
      </c>
      <c r="AZ74">
        <v>6729.8465993028331</v>
      </c>
      <c r="BA74">
        <v>-1892565423.9400001</v>
      </c>
      <c r="BB74">
        <v>11.89816542031976</v>
      </c>
    </row>
    <row r="75" spans="1:54" x14ac:dyDescent="0.25">
      <c r="A75">
        <v>73</v>
      </c>
      <c r="B75">
        <v>2022</v>
      </c>
      <c r="C75" t="s">
        <v>54</v>
      </c>
      <c r="D75" t="s">
        <v>201</v>
      </c>
      <c r="E75" t="s">
        <v>202</v>
      </c>
      <c r="F75">
        <v>83177813</v>
      </c>
      <c r="G75">
        <v>-2.1956570184897699E-2</v>
      </c>
      <c r="H75">
        <v>357600</v>
      </c>
      <c r="J75">
        <v>4591309344658.3613</v>
      </c>
      <c r="K75">
        <v>55200</v>
      </c>
      <c r="L75">
        <v>5869168290167.3154</v>
      </c>
      <c r="M75">
        <v>70560</v>
      </c>
      <c r="O75">
        <v>80.608048780487806</v>
      </c>
      <c r="P75">
        <v>1.4550000000000001</v>
      </c>
      <c r="Q75">
        <v>5.577</v>
      </c>
      <c r="T75">
        <v>3.7</v>
      </c>
      <c r="V75">
        <v>96</v>
      </c>
      <c r="W75">
        <v>97.7584228515625</v>
      </c>
      <c r="X75">
        <v>100.81729888916</v>
      </c>
      <c r="Z75">
        <v>0.1</v>
      </c>
      <c r="AA75">
        <v>114190</v>
      </c>
      <c r="AB75">
        <v>144.52965093076284</v>
      </c>
      <c r="AC75">
        <v>3261.8564081995037</v>
      </c>
      <c r="AD75">
        <v>6316.2757116492112</v>
      </c>
      <c r="AE75">
        <v>4201021706478.6157</v>
      </c>
      <c r="AF75">
        <v>1.8092581243060977</v>
      </c>
      <c r="AG75">
        <v>6.4131591083029633</v>
      </c>
      <c r="AH75">
        <v>0.99463827803248117</v>
      </c>
      <c r="AI75">
        <v>25.560348825258998</v>
      </c>
      <c r="AJ75">
        <v>45.628404342518529</v>
      </c>
      <c r="AK75">
        <v>43.157349870531583</v>
      </c>
      <c r="AL75">
        <v>23.276014628802898</v>
      </c>
      <c r="AM75">
        <v>28.500973833092274</v>
      </c>
      <c r="AN75">
        <v>44.981056324604332</v>
      </c>
      <c r="AO75">
        <v>1.3503051456175599</v>
      </c>
      <c r="AP75">
        <v>124.158</v>
      </c>
      <c r="AQ75">
        <v>17.498150557365939</v>
      </c>
      <c r="AR75">
        <v>77.602336473825943</v>
      </c>
      <c r="AS75">
        <v>96.2</v>
      </c>
      <c r="AV75">
        <v>981552</v>
      </c>
      <c r="AW75">
        <v>22241969839.123402</v>
      </c>
      <c r="AX75">
        <v>87215414562.459396</v>
      </c>
      <c r="AZ75">
        <v>50506.517963854327</v>
      </c>
      <c r="BA75">
        <v>63702049813.461098</v>
      </c>
      <c r="BB75">
        <v>6.8725743855109682</v>
      </c>
    </row>
    <row r="76" spans="1:54" x14ac:dyDescent="0.25">
      <c r="A76">
        <v>74</v>
      </c>
      <c r="B76">
        <v>2022</v>
      </c>
      <c r="C76" t="s">
        <v>54</v>
      </c>
      <c r="D76" t="s">
        <v>203</v>
      </c>
      <c r="E76" t="s">
        <v>204</v>
      </c>
      <c r="F76">
        <v>33149152</v>
      </c>
      <c r="G76">
        <v>1.9202903434413201</v>
      </c>
      <c r="H76">
        <v>238533</v>
      </c>
      <c r="J76">
        <v>79506151356.933853</v>
      </c>
      <c r="K76">
        <v>2400</v>
      </c>
      <c r="L76">
        <v>234844840098.81519</v>
      </c>
      <c r="M76">
        <v>7080</v>
      </c>
      <c r="O76">
        <v>65.245999999999995</v>
      </c>
      <c r="P76">
        <v>3.4340000000000002</v>
      </c>
      <c r="Q76">
        <v>58.808</v>
      </c>
      <c r="R76">
        <v>36.299999999999997</v>
      </c>
      <c r="T76">
        <v>38.5</v>
      </c>
      <c r="U76">
        <v>12</v>
      </c>
      <c r="V76">
        <v>95</v>
      </c>
      <c r="W76">
        <v>93.415524828922699</v>
      </c>
      <c r="X76">
        <v>77.816869680194799</v>
      </c>
      <c r="Z76">
        <v>1.6</v>
      </c>
      <c r="AA76">
        <v>80001.61099999999</v>
      </c>
      <c r="AB76">
        <v>47.305138755503016</v>
      </c>
      <c r="AC76">
        <v>359.17937905230576</v>
      </c>
      <c r="AD76">
        <v>552.50282118830671</v>
      </c>
      <c r="AE76">
        <v>73919003209.986649</v>
      </c>
      <c r="AF76">
        <v>3.8048498095216416</v>
      </c>
      <c r="AG76">
        <v>28.183872813714004</v>
      </c>
      <c r="AH76">
        <v>19.513638202715818</v>
      </c>
      <c r="AI76">
        <v>31.470050505778985</v>
      </c>
      <c r="AJ76">
        <v>34.664043553358738</v>
      </c>
      <c r="AK76">
        <v>35.45141224253198</v>
      </c>
      <c r="AL76">
        <v>16.407852014614637</v>
      </c>
      <c r="AM76">
        <v>15.550550687532297</v>
      </c>
      <c r="AN76">
        <v>8.7442467015393177</v>
      </c>
      <c r="AO76">
        <v>0.33794635594002403</v>
      </c>
      <c r="AP76">
        <v>120.803</v>
      </c>
      <c r="AQ76">
        <v>1.9574071685201435</v>
      </c>
      <c r="AR76">
        <v>43.151285345918502</v>
      </c>
      <c r="AS76">
        <v>111.1</v>
      </c>
      <c r="AT76">
        <v>43607006146.099998</v>
      </c>
      <c r="AU76">
        <v>8.0631172284275561</v>
      </c>
      <c r="AV76">
        <v>-10003</v>
      </c>
      <c r="AW76">
        <v>740779190.49706697</v>
      </c>
      <c r="AX76">
        <v>1428411737.1329999</v>
      </c>
      <c r="AY76">
        <v>31.66949472889231</v>
      </c>
      <c r="AZ76">
        <v>2229.8912264780301</v>
      </c>
      <c r="BA76">
        <v>-1472569630.3150902</v>
      </c>
      <c r="BB76">
        <v>31.255895104901629</v>
      </c>
    </row>
    <row r="77" spans="1:54" x14ac:dyDescent="0.25">
      <c r="A77">
        <v>75</v>
      </c>
      <c r="B77">
        <v>2022</v>
      </c>
      <c r="C77" t="s">
        <v>54</v>
      </c>
      <c r="D77" t="s">
        <v>205</v>
      </c>
      <c r="E77" t="s">
        <v>206</v>
      </c>
      <c r="F77">
        <v>37609</v>
      </c>
      <c r="G77">
        <v>2.0170692045689398</v>
      </c>
      <c r="H77">
        <v>10</v>
      </c>
      <c r="O77">
        <v>83.516999999999996</v>
      </c>
      <c r="P77">
        <v>1.895</v>
      </c>
      <c r="Q77">
        <v>8.4770000000000003</v>
      </c>
      <c r="W77">
        <v>106.040268456376</v>
      </c>
      <c r="X77">
        <v>72.422279357910199</v>
      </c>
      <c r="AA77">
        <v>0</v>
      </c>
      <c r="AC77">
        <v>6522.2349925933149</v>
      </c>
      <c r="AD77">
        <v>5424.2335611156905</v>
      </c>
      <c r="AP77">
        <v>97.604299999999995</v>
      </c>
      <c r="AS77">
        <v>83.6</v>
      </c>
      <c r="AV77">
        <v>613</v>
      </c>
    </row>
    <row r="78" spans="1:54" x14ac:dyDescent="0.25">
      <c r="A78">
        <v>76</v>
      </c>
      <c r="B78">
        <v>2022</v>
      </c>
      <c r="C78" t="s">
        <v>54</v>
      </c>
      <c r="D78" t="s">
        <v>207</v>
      </c>
      <c r="E78" t="s">
        <v>208</v>
      </c>
      <c r="F78">
        <v>10436882</v>
      </c>
      <c r="G78">
        <v>-1.25988945727074</v>
      </c>
      <c r="H78">
        <v>131960</v>
      </c>
      <c r="J78">
        <v>229402087323.05295</v>
      </c>
      <c r="K78">
        <v>21980</v>
      </c>
      <c r="L78">
        <v>401399081509.65845</v>
      </c>
      <c r="M78">
        <v>38460</v>
      </c>
      <c r="N78">
        <v>7.2</v>
      </c>
      <c r="O78">
        <v>80.787804878048789</v>
      </c>
      <c r="P78">
        <v>1.32</v>
      </c>
      <c r="Q78">
        <v>6.9409999999999998</v>
      </c>
      <c r="T78">
        <v>3.8</v>
      </c>
      <c r="V78">
        <v>94</v>
      </c>
      <c r="W78">
        <v>99.349899291992202</v>
      </c>
      <c r="X78">
        <v>106.21671295166</v>
      </c>
      <c r="Z78">
        <v>0.3</v>
      </c>
      <c r="AA78">
        <v>39018</v>
      </c>
      <c r="AB78">
        <v>21.34987189837485</v>
      </c>
      <c r="AC78">
        <v>1957.7987205050322</v>
      </c>
      <c r="AD78">
        <v>4827.7828569873645</v>
      </c>
      <c r="AE78">
        <v>217990189600.68958</v>
      </c>
      <c r="AF78">
        <v>5.5219858058940758</v>
      </c>
      <c r="AG78">
        <v>6.2854124342547806</v>
      </c>
      <c r="AH78">
        <v>3.784907319482119</v>
      </c>
      <c r="AI78">
        <v>16.72011434961113</v>
      </c>
      <c r="AJ78">
        <v>49.231620558950326</v>
      </c>
      <c r="AK78">
        <v>58.890222670972094</v>
      </c>
      <c r="AL78">
        <v>18.809411463178289</v>
      </c>
      <c r="AM78">
        <v>45.242068179736364</v>
      </c>
      <c r="AN78">
        <v>27.081622392337813</v>
      </c>
      <c r="AO78">
        <v>4.0003524614337298</v>
      </c>
      <c r="AP78">
        <v>109.027</v>
      </c>
      <c r="AQ78">
        <v>14.470865176220709</v>
      </c>
      <c r="AR78">
        <v>72.392707345716616</v>
      </c>
      <c r="AS78">
        <v>93.3</v>
      </c>
      <c r="AV78">
        <v>-53997</v>
      </c>
      <c r="AW78">
        <v>2937323542.5729299</v>
      </c>
      <c r="AX78">
        <v>8057970156.1027899</v>
      </c>
      <c r="AZ78">
        <v>20886.524308762862</v>
      </c>
      <c r="BA78">
        <v>-5435536320.3841696</v>
      </c>
      <c r="BB78">
        <v>9.6452598128063176</v>
      </c>
    </row>
    <row r="79" spans="1:54" x14ac:dyDescent="0.25">
      <c r="A79">
        <v>77</v>
      </c>
      <c r="B79">
        <v>2022</v>
      </c>
      <c r="C79" t="s">
        <v>54</v>
      </c>
      <c r="D79" t="s">
        <v>209</v>
      </c>
      <c r="E79" t="s">
        <v>210</v>
      </c>
      <c r="F79">
        <v>56661</v>
      </c>
      <c r="G79">
        <v>1.41200557976914E-2</v>
      </c>
      <c r="H79">
        <v>410450</v>
      </c>
      <c r="O79">
        <v>71.540487804878069</v>
      </c>
      <c r="P79">
        <v>1.8180000000000001</v>
      </c>
      <c r="Q79">
        <v>36.42</v>
      </c>
      <c r="AA79">
        <v>2.2000000000000002</v>
      </c>
      <c r="AE79">
        <v>3152334771.7799163</v>
      </c>
      <c r="AF79">
        <v>2.0045558086560362</v>
      </c>
      <c r="AG79">
        <v>5.6064966909130476</v>
      </c>
      <c r="AH79">
        <v>16.025893913854318</v>
      </c>
      <c r="AI79">
        <v>19.511888964602086</v>
      </c>
      <c r="AJ79">
        <v>40.790087149876271</v>
      </c>
      <c r="AK79">
        <v>52.575045726786925</v>
      </c>
      <c r="AL79">
        <v>37.840709392819996</v>
      </c>
      <c r="AP79">
        <v>118.637</v>
      </c>
      <c r="AR79">
        <v>61.097571782089453</v>
      </c>
      <c r="AS79">
        <v>89.6</v>
      </c>
      <c r="AV79">
        <v>-323</v>
      </c>
      <c r="AZ79">
        <v>55635.000649122259</v>
      </c>
    </row>
    <row r="80" spans="1:54" x14ac:dyDescent="0.25">
      <c r="A80">
        <v>78</v>
      </c>
      <c r="B80">
        <v>2022</v>
      </c>
      <c r="C80" t="s">
        <v>54</v>
      </c>
      <c r="D80" t="s">
        <v>211</v>
      </c>
      <c r="E80" t="s">
        <v>212</v>
      </c>
      <c r="F80">
        <v>116913</v>
      </c>
      <c r="G80">
        <v>0.19263622123093899</v>
      </c>
      <c r="H80">
        <v>340</v>
      </c>
      <c r="J80">
        <v>1167279540.718302</v>
      </c>
      <c r="K80">
        <v>9980</v>
      </c>
      <c r="L80">
        <v>1908011226.3650355</v>
      </c>
      <c r="M80">
        <v>16320</v>
      </c>
      <c r="O80">
        <v>75.150999999999996</v>
      </c>
      <c r="P80">
        <v>1.502</v>
      </c>
      <c r="Q80">
        <v>29.356999999999999</v>
      </c>
      <c r="T80">
        <v>18.5</v>
      </c>
      <c r="V80">
        <v>76</v>
      </c>
      <c r="AA80">
        <v>177</v>
      </c>
      <c r="AB80">
        <v>77.993353632540746</v>
      </c>
      <c r="AE80">
        <v>1224007407.4074073</v>
      </c>
      <c r="AF80">
        <v>7.3102380698195901</v>
      </c>
      <c r="AG80">
        <v>1.6398518524720345</v>
      </c>
      <c r="AH80">
        <v>4.1200428465090377</v>
      </c>
      <c r="AI80">
        <v>16.140364679468171</v>
      </c>
      <c r="AP80">
        <v>95.759200000000007</v>
      </c>
      <c r="AQ80">
        <v>2.1771874895919696</v>
      </c>
      <c r="AR80">
        <v>51.14348133937704</v>
      </c>
      <c r="AS80">
        <v>77.7</v>
      </c>
      <c r="AT80">
        <v>853727574.60000002</v>
      </c>
      <c r="AU80">
        <v>4.6899419459768925</v>
      </c>
      <c r="AV80">
        <v>-190</v>
      </c>
      <c r="AW80">
        <v>51691057.407407299</v>
      </c>
      <c r="AX80">
        <v>162962004.814814</v>
      </c>
      <c r="AY80">
        <v>-800.92458835994114</v>
      </c>
      <c r="AZ80">
        <v>10469.386701285634</v>
      </c>
      <c r="BA80">
        <v>-153212042.222222</v>
      </c>
      <c r="BB80">
        <v>2.5805392590791958</v>
      </c>
    </row>
    <row r="81" spans="1:54" x14ac:dyDescent="0.25">
      <c r="A81">
        <v>79</v>
      </c>
      <c r="B81">
        <v>2022</v>
      </c>
      <c r="C81" t="s">
        <v>54</v>
      </c>
      <c r="D81" t="s">
        <v>213</v>
      </c>
      <c r="E81" t="s">
        <v>214</v>
      </c>
      <c r="F81">
        <v>165180</v>
      </c>
      <c r="G81">
        <v>0.881705873116992</v>
      </c>
      <c r="H81">
        <v>540</v>
      </c>
      <c r="O81">
        <v>77.102000000000004</v>
      </c>
      <c r="P81">
        <v>2.819</v>
      </c>
      <c r="Q81">
        <v>33.902000000000001</v>
      </c>
      <c r="AA81">
        <v>280</v>
      </c>
      <c r="AE81">
        <v>6910000000</v>
      </c>
      <c r="AF81">
        <v>5.0998642621679267</v>
      </c>
      <c r="AG81">
        <v>5.4651790502505406</v>
      </c>
      <c r="AJ81">
        <v>7.8871201157742403</v>
      </c>
      <c r="AK81">
        <v>63.979739507959479</v>
      </c>
      <c r="AR81">
        <v>18.422575976845152</v>
      </c>
      <c r="AS81">
        <v>112.3</v>
      </c>
      <c r="AV81">
        <v>-500</v>
      </c>
      <c r="AZ81">
        <v>41833.151713282481</v>
      </c>
    </row>
    <row r="82" spans="1:54" x14ac:dyDescent="0.25">
      <c r="A82">
        <v>80</v>
      </c>
      <c r="B82">
        <v>2022</v>
      </c>
      <c r="C82" t="s">
        <v>54</v>
      </c>
      <c r="D82" t="s">
        <v>215</v>
      </c>
      <c r="E82" t="s">
        <v>216</v>
      </c>
      <c r="F82">
        <v>17847877</v>
      </c>
      <c r="G82">
        <v>1.4062371021314599</v>
      </c>
      <c r="H82">
        <v>108890</v>
      </c>
      <c r="J82">
        <v>93112169261.944565</v>
      </c>
      <c r="K82">
        <v>5220</v>
      </c>
      <c r="L82">
        <v>227235232363.15488</v>
      </c>
      <c r="M82">
        <v>12730</v>
      </c>
      <c r="O82">
        <v>71.206000000000003</v>
      </c>
      <c r="P82">
        <v>2.343</v>
      </c>
      <c r="Q82">
        <v>69.116</v>
      </c>
      <c r="T82">
        <v>22.1</v>
      </c>
      <c r="V82">
        <v>86</v>
      </c>
      <c r="W82">
        <v>86.545446926862198</v>
      </c>
      <c r="X82">
        <v>45.892623216466298</v>
      </c>
      <c r="Z82">
        <v>0.2</v>
      </c>
      <c r="AA82">
        <v>35046</v>
      </c>
      <c r="AB82">
        <v>23.544898891171066</v>
      </c>
      <c r="AC82">
        <v>887.83892532619984</v>
      </c>
      <c r="AD82">
        <v>669.88359455861337</v>
      </c>
      <c r="AE82">
        <v>95641446500.652283</v>
      </c>
      <c r="AF82">
        <v>4.1845181724369525</v>
      </c>
      <c r="AG82">
        <v>6.3720534984248474</v>
      </c>
      <c r="AH82">
        <v>9.0821014182861752</v>
      </c>
      <c r="AI82">
        <v>22.6306600546867</v>
      </c>
      <c r="AJ82">
        <v>18.945499982306266</v>
      </c>
      <c r="AK82">
        <v>35.48553849969953</v>
      </c>
      <c r="AL82">
        <v>16.5685319618267</v>
      </c>
      <c r="AM82">
        <v>12.893685488591277</v>
      </c>
      <c r="AO82">
        <v>0.46166596192193499</v>
      </c>
      <c r="AP82">
        <v>115.15600000000001</v>
      </c>
      <c r="AQ82">
        <v>4.9716240317095126</v>
      </c>
      <c r="AR82">
        <v>49.989833643590828</v>
      </c>
      <c r="AS82">
        <v>94</v>
      </c>
      <c r="AT82">
        <v>25269486615.200001</v>
      </c>
      <c r="AU82">
        <v>4.4252741224558854</v>
      </c>
      <c r="AV82">
        <v>-8463</v>
      </c>
      <c r="AW82">
        <v>23852430</v>
      </c>
      <c r="AX82">
        <v>1450072830</v>
      </c>
      <c r="AY82">
        <v>24.616655611415634</v>
      </c>
      <c r="AZ82">
        <v>5358.7015699767699</v>
      </c>
      <c r="BA82">
        <v>-719823040</v>
      </c>
      <c r="BB82">
        <v>6.8851282334428694</v>
      </c>
    </row>
    <row r="83" spans="1:54" x14ac:dyDescent="0.25">
      <c r="A83">
        <v>81</v>
      </c>
      <c r="B83">
        <v>2022</v>
      </c>
      <c r="C83" t="s">
        <v>54</v>
      </c>
      <c r="D83" t="s">
        <v>217</v>
      </c>
      <c r="E83" t="s">
        <v>218</v>
      </c>
      <c r="F83">
        <v>14055137</v>
      </c>
      <c r="G83">
        <v>2.4825040914539702</v>
      </c>
      <c r="H83">
        <v>245860</v>
      </c>
      <c r="J83">
        <v>18059938901.632492</v>
      </c>
      <c r="K83">
        <v>1280</v>
      </c>
      <c r="L83">
        <v>56104396764.924934</v>
      </c>
      <c r="M83">
        <v>3990</v>
      </c>
      <c r="O83">
        <v>60.432000000000002</v>
      </c>
      <c r="P83">
        <v>4.3029999999999999</v>
      </c>
      <c r="Q83">
        <v>120.438</v>
      </c>
      <c r="T83">
        <v>97.8</v>
      </c>
      <c r="U83">
        <v>15</v>
      </c>
      <c r="V83">
        <v>51</v>
      </c>
      <c r="Z83">
        <v>1.4</v>
      </c>
      <c r="AA83">
        <v>61090</v>
      </c>
      <c r="AB83">
        <v>15.594924658357314</v>
      </c>
      <c r="AE83">
        <v>19910452541.921909</v>
      </c>
      <c r="AF83">
        <v>3.9724078420072146</v>
      </c>
      <c r="AG83">
        <v>2.8055829238949457</v>
      </c>
      <c r="AH83">
        <v>28.381973713968524</v>
      </c>
      <c r="AI83">
        <v>26.502930068651086</v>
      </c>
      <c r="AJ83">
        <v>45.418651431735391</v>
      </c>
      <c r="AK83">
        <v>48.7466212613867</v>
      </c>
      <c r="AL83">
        <v>14.014221565417657</v>
      </c>
      <c r="AO83">
        <v>2.18865717393084</v>
      </c>
      <c r="AP83">
        <v>108.88500000000001</v>
      </c>
      <c r="AR83">
        <v>68.285740725246271</v>
      </c>
      <c r="AS83">
        <v>121.7</v>
      </c>
      <c r="AT83">
        <v>4903692018.8999996</v>
      </c>
      <c r="AU83">
        <v>1.073013003426212</v>
      </c>
      <c r="AV83">
        <v>-3997</v>
      </c>
      <c r="AW83">
        <v>134925700</v>
      </c>
      <c r="AX83">
        <v>658300000</v>
      </c>
      <c r="AY83">
        <v>35.739602695230296</v>
      </c>
      <c r="AZ83">
        <v>1416.5961201176417</v>
      </c>
      <c r="BA83">
        <v>-650100000</v>
      </c>
      <c r="BB83">
        <v>10.49304099844241</v>
      </c>
    </row>
    <row r="84" spans="1:54" x14ac:dyDescent="0.25">
      <c r="A84">
        <v>82</v>
      </c>
      <c r="B84">
        <v>2022</v>
      </c>
      <c r="C84" t="s">
        <v>54</v>
      </c>
      <c r="D84" t="s">
        <v>219</v>
      </c>
      <c r="E84" t="s">
        <v>220</v>
      </c>
      <c r="F84">
        <v>2105529</v>
      </c>
      <c r="G84">
        <v>2.2423538863999299</v>
      </c>
      <c r="H84">
        <v>36130</v>
      </c>
      <c r="J84">
        <v>2014961901.2915092</v>
      </c>
      <c r="K84">
        <v>960</v>
      </c>
      <c r="L84">
        <v>5901167919.5039663</v>
      </c>
      <c r="M84">
        <v>2800</v>
      </c>
      <c r="O84">
        <v>63.604999999999997</v>
      </c>
      <c r="P84">
        <v>3.911</v>
      </c>
      <c r="Q84">
        <v>83.159000000000006</v>
      </c>
      <c r="T84">
        <v>71.599999999999994</v>
      </c>
      <c r="V84">
        <v>75</v>
      </c>
      <c r="Z84">
        <v>2.4</v>
      </c>
      <c r="AA84">
        <v>19631.3</v>
      </c>
      <c r="AB84">
        <v>9.0586008523609642</v>
      </c>
      <c r="AE84">
        <v>1859601384.0592759</v>
      </c>
      <c r="AF84">
        <v>5.5298725305835177</v>
      </c>
      <c r="AG84">
        <v>3.8810407907802471</v>
      </c>
      <c r="AH84">
        <v>39.575954545234538</v>
      </c>
      <c r="AI84">
        <v>12.680719479445415</v>
      </c>
      <c r="AJ84">
        <v>14.724843666134358</v>
      </c>
      <c r="AK84">
        <v>31.033651559151416</v>
      </c>
      <c r="AL84">
        <v>22.608438236688027</v>
      </c>
      <c r="AM84">
        <v>10.6893039431246</v>
      </c>
      <c r="AO84">
        <v>1.39829187831807</v>
      </c>
      <c r="AP84">
        <v>125.935</v>
      </c>
      <c r="AR84">
        <v>38.395325262741409</v>
      </c>
      <c r="AS84">
        <v>93.3</v>
      </c>
      <c r="AT84">
        <v>1250735517.9000001</v>
      </c>
      <c r="AU84">
        <v>3.4389495813818534</v>
      </c>
      <c r="AV84">
        <v>-1400</v>
      </c>
      <c r="AW84">
        <v>78747312.351610497</v>
      </c>
      <c r="AX84">
        <v>21658003.8438931</v>
      </c>
      <c r="AY84">
        <v>71.101491858700598</v>
      </c>
      <c r="AZ84">
        <v>883.19913145783119</v>
      </c>
      <c r="BA84">
        <v>-21122877.897936001</v>
      </c>
      <c r="BB84">
        <v>9.3907593398520302</v>
      </c>
    </row>
    <row r="85" spans="1:54" x14ac:dyDescent="0.25">
      <c r="A85">
        <v>83</v>
      </c>
      <c r="B85">
        <v>2022</v>
      </c>
      <c r="C85" t="s">
        <v>54</v>
      </c>
      <c r="D85" t="s">
        <v>221</v>
      </c>
      <c r="E85" t="s">
        <v>222</v>
      </c>
      <c r="F85">
        <v>821637</v>
      </c>
      <c r="G85">
        <v>0.75193422109709196</v>
      </c>
      <c r="H85">
        <v>214970</v>
      </c>
      <c r="J85">
        <v>8039637662.3857527</v>
      </c>
      <c r="K85">
        <v>9780</v>
      </c>
      <c r="L85">
        <v>19759668365.029461</v>
      </c>
      <c r="M85">
        <v>24050</v>
      </c>
      <c r="O85">
        <v>69.888000000000005</v>
      </c>
      <c r="P85">
        <v>2.4369999999999998</v>
      </c>
      <c r="Q85">
        <v>71.313000000000002</v>
      </c>
      <c r="T85">
        <v>26.6</v>
      </c>
      <c r="V85">
        <v>97</v>
      </c>
      <c r="Z85">
        <v>1.5</v>
      </c>
      <c r="AA85">
        <v>183969.31100000002</v>
      </c>
      <c r="AB85">
        <v>9.8760992858877419</v>
      </c>
      <c r="AE85">
        <v>14718388489.208633</v>
      </c>
      <c r="AF85">
        <v>63.334634365485499</v>
      </c>
      <c r="AG85">
        <v>12.060448919606273</v>
      </c>
      <c r="AH85">
        <v>10.029835921980823</v>
      </c>
      <c r="AI85">
        <v>67.82064166132254</v>
      </c>
      <c r="AO85">
        <v>0.60139423302519801</v>
      </c>
      <c r="AP85">
        <v>112.565</v>
      </c>
      <c r="AQ85">
        <v>0.12395410932018577</v>
      </c>
      <c r="AR85">
        <v>101.26788004629847</v>
      </c>
      <c r="AS85">
        <v>156</v>
      </c>
      <c r="AT85">
        <v>2070108385.5999999</v>
      </c>
      <c r="AU85">
        <v>1.5921119239967116</v>
      </c>
      <c r="AV85">
        <v>-6161</v>
      </c>
      <c r="AW85">
        <v>169184475.55422801</v>
      </c>
      <c r="AX85">
        <v>-2996952015.1700001</v>
      </c>
      <c r="AY85">
        <v>244.00795231235085</v>
      </c>
      <c r="AZ85">
        <v>17913.492806687907</v>
      </c>
      <c r="BA85">
        <v>3001628693.1700001</v>
      </c>
      <c r="BB85">
        <v>6.1150555010993477</v>
      </c>
    </row>
    <row r="86" spans="1:54" x14ac:dyDescent="0.25">
      <c r="A86">
        <v>84</v>
      </c>
      <c r="B86">
        <v>2022</v>
      </c>
      <c r="C86" t="s">
        <v>54</v>
      </c>
      <c r="D86" t="s">
        <v>223</v>
      </c>
      <c r="E86" t="s">
        <v>224</v>
      </c>
      <c r="F86">
        <v>11503606</v>
      </c>
      <c r="G86">
        <v>1.1278982865014899</v>
      </c>
      <c r="H86">
        <v>27750</v>
      </c>
      <c r="J86">
        <v>18641005782.197079</v>
      </c>
      <c r="K86">
        <v>1620</v>
      </c>
      <c r="L86">
        <v>37723086536.925545</v>
      </c>
      <c r="M86">
        <v>3280</v>
      </c>
      <c r="O86">
        <v>63.948</v>
      </c>
      <c r="P86">
        <v>2.6989999999999998</v>
      </c>
      <c r="Q86">
        <v>50.588999999999999</v>
      </c>
      <c r="T86">
        <v>56.9</v>
      </c>
      <c r="V86">
        <v>66</v>
      </c>
      <c r="Z86">
        <v>1.7</v>
      </c>
      <c r="AA86">
        <v>3410.8</v>
      </c>
      <c r="AB86">
        <v>9.9702263797444441</v>
      </c>
      <c r="AC86">
        <v>377.52606041863481</v>
      </c>
      <c r="AD86">
        <v>74.84609608500152</v>
      </c>
      <c r="AE86">
        <v>20253551920.551617</v>
      </c>
      <c r="AF86">
        <v>-1.6819839689797789</v>
      </c>
      <c r="AG86">
        <v>29.78495244690609</v>
      </c>
      <c r="AH86">
        <v>20.275349314177173</v>
      </c>
      <c r="AI86">
        <v>29.341138031726743</v>
      </c>
      <c r="AJ86">
        <v>7.2387601158694235</v>
      </c>
      <c r="AK86">
        <v>29.290790167958587</v>
      </c>
      <c r="AL86">
        <v>15.862139420419593</v>
      </c>
      <c r="AO86">
        <v>6.8740857602791208E-2</v>
      </c>
      <c r="AP86">
        <v>65.188900000000004</v>
      </c>
      <c r="AR86">
        <v>29.150442466385922</v>
      </c>
      <c r="AS86">
        <v>80.2</v>
      </c>
      <c r="AT86">
        <v>2965270069.0999999</v>
      </c>
      <c r="AU86">
        <v>0.17357379241856349</v>
      </c>
      <c r="AV86">
        <v>-32220</v>
      </c>
      <c r="AW86">
        <v>725386292.38188195</v>
      </c>
      <c r="AX86">
        <v>39413200</v>
      </c>
      <c r="AY86">
        <v>78.156236596254601</v>
      </c>
      <c r="AZ86">
        <v>1760.626356687774</v>
      </c>
      <c r="BA86">
        <v>-39413200</v>
      </c>
      <c r="BB86">
        <v>33.983931947070019</v>
      </c>
    </row>
    <row r="87" spans="1:54" x14ac:dyDescent="0.25">
      <c r="A87">
        <v>85</v>
      </c>
      <c r="B87">
        <v>2022</v>
      </c>
      <c r="C87" t="s">
        <v>54</v>
      </c>
      <c r="D87" t="s">
        <v>225</v>
      </c>
      <c r="E87" t="s">
        <v>226</v>
      </c>
      <c r="F87">
        <v>10463872</v>
      </c>
      <c r="G87">
        <v>1.67679658023776</v>
      </c>
      <c r="H87">
        <v>112490</v>
      </c>
      <c r="J87">
        <v>28217097886.46003</v>
      </c>
      <c r="K87">
        <v>2700</v>
      </c>
      <c r="L87">
        <v>65532093618.448914</v>
      </c>
      <c r="M87">
        <v>6260</v>
      </c>
      <c r="O87">
        <v>72.715000000000003</v>
      </c>
      <c r="P87">
        <v>2.5219999999999998</v>
      </c>
      <c r="Q87">
        <v>82.781000000000006</v>
      </c>
      <c r="T87">
        <v>16</v>
      </c>
      <c r="V87">
        <v>77</v>
      </c>
      <c r="W87">
        <v>68.237842997791304</v>
      </c>
      <c r="X87">
        <v>53.860580444335902</v>
      </c>
      <c r="Z87">
        <v>0.2</v>
      </c>
      <c r="AA87">
        <v>63173.599999999999</v>
      </c>
      <c r="AB87">
        <v>16.162833000483236</v>
      </c>
      <c r="AC87">
        <v>573.34444508290335</v>
      </c>
      <c r="AD87">
        <v>757.08112637463455</v>
      </c>
      <c r="AE87">
        <v>31426041806.798485</v>
      </c>
      <c r="AF87">
        <v>4.1435619401376727</v>
      </c>
      <c r="AG87">
        <v>9.3123950300273606</v>
      </c>
      <c r="AH87">
        <v>12.473273024445541</v>
      </c>
      <c r="AI87">
        <v>25.908424768948844</v>
      </c>
      <c r="AJ87">
        <v>42.43918179489615</v>
      </c>
      <c r="AK87">
        <v>70.259343119070053</v>
      </c>
      <c r="AL87">
        <v>26.326231741088073</v>
      </c>
      <c r="AO87">
        <v>1.46557698015697</v>
      </c>
      <c r="AP87">
        <v>75.855099999999993</v>
      </c>
      <c r="AR87">
        <v>97.377837744045067</v>
      </c>
      <c r="AS87">
        <v>95.2</v>
      </c>
      <c r="AT87">
        <v>12638567154.6</v>
      </c>
      <c r="AU87">
        <v>5.7805823650810542</v>
      </c>
      <c r="AV87">
        <v>-5374</v>
      </c>
      <c r="AW87">
        <v>338519060.914976</v>
      </c>
      <c r="AX87">
        <v>758286498.80481803</v>
      </c>
      <c r="AY87">
        <v>75.256854095587755</v>
      </c>
      <c r="AZ87">
        <v>3003.2899682639932</v>
      </c>
      <c r="BA87">
        <v>-737736078.76747</v>
      </c>
      <c r="BB87">
        <v>9.0896391152502503</v>
      </c>
    </row>
    <row r="88" spans="1:54" x14ac:dyDescent="0.25">
      <c r="A88">
        <v>86</v>
      </c>
      <c r="B88">
        <v>2022</v>
      </c>
      <c r="C88" t="s">
        <v>54</v>
      </c>
      <c r="D88" t="s">
        <v>227</v>
      </c>
      <c r="E88" t="s">
        <v>228</v>
      </c>
      <c r="F88">
        <v>7346100</v>
      </c>
      <c r="G88">
        <v>-0.907914524343304</v>
      </c>
      <c r="H88">
        <v>1110</v>
      </c>
      <c r="J88">
        <v>396669306701.3902</v>
      </c>
      <c r="K88">
        <v>54000</v>
      </c>
      <c r="L88">
        <v>537286955249.94641</v>
      </c>
      <c r="M88">
        <v>73140</v>
      </c>
      <c r="O88">
        <v>83.660975609756107</v>
      </c>
      <c r="P88">
        <v>0.70099999999999996</v>
      </c>
      <c r="Q88">
        <v>1.1299999999999999</v>
      </c>
      <c r="W88">
        <v>105.857142857143</v>
      </c>
      <c r="X88">
        <v>106.185208398621</v>
      </c>
      <c r="AC88">
        <v>1566.3961348760158</v>
      </c>
      <c r="AD88">
        <v>6374.6749976177834</v>
      </c>
      <c r="AE88">
        <v>358679533984.7182</v>
      </c>
      <c r="AF88">
        <v>-3.6837841449519857</v>
      </c>
      <c r="AG88">
        <v>1.6886487768470744</v>
      </c>
      <c r="AH88">
        <v>5.290197221827652E-2</v>
      </c>
      <c r="AI88">
        <v>6.2626536640311796</v>
      </c>
      <c r="AJ88">
        <v>194.48651800714069</v>
      </c>
      <c r="AK88">
        <v>190.39462521658302</v>
      </c>
      <c r="AL88">
        <v>15.229929557784368</v>
      </c>
      <c r="AN88">
        <v>1273.2282238870569</v>
      </c>
      <c r="AP88">
        <v>292.80799999999999</v>
      </c>
      <c r="AQ88">
        <v>72.63677264372393</v>
      </c>
      <c r="AR88">
        <v>356.16166492912527</v>
      </c>
      <c r="AS88">
        <v>99.9</v>
      </c>
      <c r="AV88">
        <v>-3427</v>
      </c>
      <c r="AW88">
        <v>901370910.14451802</v>
      </c>
      <c r="AX88">
        <v>122407913138.418</v>
      </c>
      <c r="AZ88">
        <v>48825.844187353592</v>
      </c>
      <c r="BA88">
        <v>-3405694645.9720397</v>
      </c>
      <c r="BB88">
        <v>1.881367071968528</v>
      </c>
    </row>
    <row r="89" spans="1:54" x14ac:dyDescent="0.25">
      <c r="A89">
        <v>87</v>
      </c>
      <c r="B89">
        <v>2022</v>
      </c>
      <c r="C89" t="s">
        <v>54</v>
      </c>
      <c r="D89" t="s">
        <v>229</v>
      </c>
      <c r="E89" t="s">
        <v>230</v>
      </c>
      <c r="F89">
        <v>9605074</v>
      </c>
      <c r="G89">
        <v>-0.26885015086000902</v>
      </c>
      <c r="H89">
        <v>93030</v>
      </c>
      <c r="J89">
        <v>184404329996.66376</v>
      </c>
      <c r="K89">
        <v>19200</v>
      </c>
      <c r="L89">
        <v>411255897640.13104</v>
      </c>
      <c r="M89">
        <v>42820</v>
      </c>
      <c r="O89">
        <v>75.868292682926835</v>
      </c>
      <c r="P89">
        <v>1.56</v>
      </c>
      <c r="Q89">
        <v>18.765999999999998</v>
      </c>
      <c r="T89">
        <v>3.9</v>
      </c>
      <c r="V89">
        <v>99</v>
      </c>
      <c r="W89">
        <v>97.424110412597699</v>
      </c>
      <c r="X89">
        <v>102.908576965332</v>
      </c>
      <c r="AA89">
        <v>20500.988999999998</v>
      </c>
      <c r="AB89">
        <v>33.732180160790357</v>
      </c>
      <c r="AC89">
        <v>2672.8676552920256</v>
      </c>
      <c r="AD89">
        <v>4702.93097169267</v>
      </c>
      <c r="AE89">
        <v>177002580544.15546</v>
      </c>
      <c r="AF89">
        <v>4.152380577792286</v>
      </c>
      <c r="AG89">
        <v>13.967890951606847</v>
      </c>
      <c r="AH89">
        <v>3.1431003385209473</v>
      </c>
      <c r="AI89">
        <v>24.233084536348091</v>
      </c>
      <c r="AJ89">
        <v>89.771947485887281</v>
      </c>
      <c r="AK89">
        <v>95.2282566068112</v>
      </c>
      <c r="AL89">
        <v>34.361366653230313</v>
      </c>
      <c r="AM89">
        <v>37.944406543921538</v>
      </c>
      <c r="AN89">
        <v>13.483989852931034</v>
      </c>
      <c r="AO89">
        <v>1.8331481717365401</v>
      </c>
      <c r="AP89">
        <v>105.794</v>
      </c>
      <c r="AQ89">
        <v>18.404891725843068</v>
      </c>
      <c r="AR89">
        <v>178.9849611378792</v>
      </c>
      <c r="AS89">
        <v>93.8</v>
      </c>
      <c r="AV89">
        <v>41871</v>
      </c>
      <c r="AW89">
        <v>1074581930.91959</v>
      </c>
      <c r="AX89">
        <v>-1917371461.47156</v>
      </c>
      <c r="AZ89">
        <v>18428.02882561399</v>
      </c>
      <c r="BA89">
        <v>-4005856025.97228</v>
      </c>
      <c r="BB89">
        <v>14.60814394924334</v>
      </c>
    </row>
    <row r="90" spans="1:54" x14ac:dyDescent="0.25">
      <c r="A90">
        <v>88</v>
      </c>
      <c r="B90">
        <v>2022</v>
      </c>
      <c r="C90" t="s">
        <v>54</v>
      </c>
      <c r="D90" t="s">
        <v>231</v>
      </c>
      <c r="E90" t="s">
        <v>232</v>
      </c>
      <c r="F90">
        <v>382003</v>
      </c>
      <c r="G90">
        <v>2.5137734325421599</v>
      </c>
      <c r="H90">
        <v>103000</v>
      </c>
      <c r="J90">
        <v>28148067503.581268</v>
      </c>
      <c r="K90">
        <v>73690</v>
      </c>
      <c r="L90">
        <v>27827248472.235283</v>
      </c>
      <c r="M90">
        <v>72850</v>
      </c>
      <c r="O90">
        <v>82.11951219512197</v>
      </c>
      <c r="P90">
        <v>1.589</v>
      </c>
      <c r="Q90">
        <v>3.5150000000000001</v>
      </c>
      <c r="T90">
        <v>2.6</v>
      </c>
      <c r="V90">
        <v>91</v>
      </c>
      <c r="W90">
        <v>98.945106506347699</v>
      </c>
      <c r="X90">
        <v>112.589393615723</v>
      </c>
      <c r="Z90">
        <v>0.1</v>
      </c>
      <c r="AA90">
        <v>526.6</v>
      </c>
      <c r="AB90">
        <v>75.882756218797624</v>
      </c>
      <c r="AC90">
        <v>15806.784836899606</v>
      </c>
      <c r="AD90">
        <v>51258.759747960095</v>
      </c>
      <c r="AE90">
        <v>29166102877.27552</v>
      </c>
      <c r="AF90">
        <v>8.8206939562349191</v>
      </c>
      <c r="AG90">
        <v>8.8317495343216876</v>
      </c>
      <c r="AH90">
        <v>4.0879858932462021</v>
      </c>
      <c r="AI90">
        <v>21.450379154798927</v>
      </c>
      <c r="AJ90">
        <v>46.741621666501317</v>
      </c>
      <c r="AK90">
        <v>46.307098294999967</v>
      </c>
      <c r="AL90">
        <v>24.251135212235368</v>
      </c>
      <c r="AM90">
        <v>30.666735976099197</v>
      </c>
      <c r="AP90">
        <v>120.11499999999999</v>
      </c>
      <c r="AQ90">
        <v>33.311629254258079</v>
      </c>
      <c r="AR90">
        <v>58.218268211725324</v>
      </c>
      <c r="AS90">
        <v>100</v>
      </c>
      <c r="AV90">
        <v>6535</v>
      </c>
      <c r="AW90">
        <v>456959477.42794901</v>
      </c>
      <c r="AX90">
        <v>1382537404.59093</v>
      </c>
      <c r="AZ90">
        <v>76350.455041650246</v>
      </c>
      <c r="BA90">
        <v>-1134666577.1977801</v>
      </c>
      <c r="BB90">
        <v>8.3087551155892019</v>
      </c>
    </row>
    <row r="91" spans="1:54" x14ac:dyDescent="0.25">
      <c r="A91">
        <v>89</v>
      </c>
      <c r="B91">
        <v>2022</v>
      </c>
      <c r="C91" t="s">
        <v>54</v>
      </c>
      <c r="D91" t="s">
        <v>233</v>
      </c>
      <c r="E91" t="s">
        <v>234</v>
      </c>
      <c r="F91">
        <v>1425423212</v>
      </c>
      <c r="G91">
        <v>0.79020054060983402</v>
      </c>
      <c r="H91">
        <v>3287260</v>
      </c>
      <c r="J91">
        <v>3404829101289.6455</v>
      </c>
      <c r="K91">
        <v>2390</v>
      </c>
      <c r="L91">
        <v>12943322775945.055</v>
      </c>
      <c r="M91">
        <v>9080</v>
      </c>
      <c r="N91">
        <v>10.4</v>
      </c>
      <c r="O91">
        <v>71.697999999999993</v>
      </c>
      <c r="P91">
        <v>1.994</v>
      </c>
      <c r="Q91">
        <v>14.185</v>
      </c>
      <c r="T91">
        <v>29.1</v>
      </c>
      <c r="V91">
        <v>95</v>
      </c>
      <c r="X91">
        <v>81.655846431737899</v>
      </c>
      <c r="AA91">
        <v>726930</v>
      </c>
      <c r="AB91">
        <v>4.619056389131214</v>
      </c>
      <c r="AC91">
        <v>727.90220009402378</v>
      </c>
      <c r="AD91">
        <v>1085.3352092038192</v>
      </c>
      <c r="AE91">
        <v>3346107287730.9272</v>
      </c>
      <c r="AF91">
        <v>7.6093649776889549</v>
      </c>
      <c r="AG91">
        <v>5.8971418589113256</v>
      </c>
      <c r="AH91">
        <v>16.546129592575387</v>
      </c>
      <c r="AI91">
        <v>25.384519562946117</v>
      </c>
      <c r="AJ91">
        <v>23.25154120452979</v>
      </c>
      <c r="AK91">
        <v>26.8237289453584</v>
      </c>
      <c r="AL91">
        <v>33.619258538898357</v>
      </c>
      <c r="AM91">
        <v>9.1101178438265595</v>
      </c>
      <c r="AN91">
        <v>101.23305616709773</v>
      </c>
      <c r="AO91">
        <v>2.3830980983588197</v>
      </c>
      <c r="AP91">
        <v>80.181799999999996</v>
      </c>
      <c r="AQ91">
        <v>12.682279480728722</v>
      </c>
      <c r="AR91">
        <v>35.081242143793276</v>
      </c>
      <c r="AS91">
        <v>81.400000000000006</v>
      </c>
      <c r="AT91">
        <v>615514904164.5</v>
      </c>
      <c r="AU91">
        <v>1.9910299648083805</v>
      </c>
      <c r="AV91">
        <v>-1353478</v>
      </c>
      <c r="AW91">
        <v>10088812317.366699</v>
      </c>
      <c r="AX91">
        <v>49940258404.2659</v>
      </c>
      <c r="AY91">
        <v>1.9770029660277133</v>
      </c>
      <c r="AZ91">
        <v>2347.4482943462317</v>
      </c>
      <c r="BA91">
        <v>-35408008686.026901</v>
      </c>
      <c r="BB91">
        <v>6.6990341407985179</v>
      </c>
    </row>
    <row r="92" spans="1:54" x14ac:dyDescent="0.25">
      <c r="A92">
        <v>90</v>
      </c>
      <c r="B92">
        <v>2022</v>
      </c>
      <c r="C92" t="s">
        <v>54</v>
      </c>
      <c r="D92" t="s">
        <v>235</v>
      </c>
      <c r="E92" t="s">
        <v>236</v>
      </c>
      <c r="F92">
        <v>278830529</v>
      </c>
      <c r="G92">
        <v>0.74605046965324595</v>
      </c>
      <c r="H92">
        <v>1916906.77</v>
      </c>
      <c r="I92">
        <v>9.5</v>
      </c>
      <c r="J92">
        <v>1261521639064.3335</v>
      </c>
      <c r="K92">
        <v>4520</v>
      </c>
      <c r="L92">
        <v>3875488644872.1455</v>
      </c>
      <c r="M92">
        <v>13900</v>
      </c>
      <c r="N92">
        <v>7.8</v>
      </c>
      <c r="O92">
        <v>70.924999999999997</v>
      </c>
      <c r="P92">
        <v>2.149</v>
      </c>
      <c r="Q92">
        <v>26.581</v>
      </c>
      <c r="R92">
        <v>52.4</v>
      </c>
      <c r="T92">
        <v>21.3</v>
      </c>
      <c r="U92">
        <v>16.8</v>
      </c>
      <c r="V92">
        <v>92</v>
      </c>
      <c r="W92">
        <v>102.068055782043</v>
      </c>
      <c r="X92">
        <v>97.816760271489301</v>
      </c>
      <c r="Z92">
        <v>0.4</v>
      </c>
      <c r="AA92">
        <v>909221.31099999999</v>
      </c>
      <c r="AB92">
        <v>5.0408444882889132</v>
      </c>
      <c r="AC92">
        <v>953.65392850686021</v>
      </c>
      <c r="AD92">
        <v>1330.9876839203644</v>
      </c>
      <c r="AE92">
        <v>1319101183380.1516</v>
      </c>
      <c r="AF92">
        <v>5.3071972266479861</v>
      </c>
      <c r="AG92">
        <v>9.5689875634693351</v>
      </c>
      <c r="AH92">
        <v>12.399650163410755</v>
      </c>
      <c r="AI92">
        <v>41.429264176097888</v>
      </c>
      <c r="AJ92">
        <v>24.502911686283209</v>
      </c>
      <c r="AK92">
        <v>20.961758509662111</v>
      </c>
      <c r="AL92">
        <v>29.745313821225931</v>
      </c>
      <c r="AN92">
        <v>46.265472102462745</v>
      </c>
      <c r="AO92">
        <v>0.76801260357696999</v>
      </c>
      <c r="AP92">
        <v>122.873</v>
      </c>
      <c r="AQ92">
        <v>8.3081930670983191</v>
      </c>
      <c r="AR92">
        <v>40.135359339407458</v>
      </c>
      <c r="AS92">
        <v>124.9</v>
      </c>
      <c r="AT92">
        <v>395986001909.70001</v>
      </c>
      <c r="AU92">
        <v>5.8753141839886336</v>
      </c>
      <c r="AV92">
        <v>-37501</v>
      </c>
      <c r="AW92">
        <v>7947567826.1234198</v>
      </c>
      <c r="AX92">
        <v>24702029705.092602</v>
      </c>
      <c r="AY92">
        <v>2.3945863433608054</v>
      </c>
      <c r="AZ92">
        <v>4730.8348483610689</v>
      </c>
      <c r="BA92">
        <v>-18067207971.4473</v>
      </c>
      <c r="BB92">
        <v>4.2094646371478417</v>
      </c>
    </row>
    <row r="93" spans="1:54" x14ac:dyDescent="0.25">
      <c r="A93">
        <v>91</v>
      </c>
      <c r="B93">
        <v>2022</v>
      </c>
      <c r="C93" t="s">
        <v>54</v>
      </c>
      <c r="D93" t="s">
        <v>237</v>
      </c>
      <c r="E93" t="s">
        <v>238</v>
      </c>
      <c r="F93">
        <v>89524246</v>
      </c>
      <c r="G93">
        <v>1.2010028585730399</v>
      </c>
      <c r="H93">
        <v>1745150</v>
      </c>
      <c r="J93">
        <v>393298446872.43976</v>
      </c>
      <c r="K93">
        <v>4390</v>
      </c>
      <c r="L93">
        <v>1567520703123.1943</v>
      </c>
      <c r="M93">
        <v>17510</v>
      </c>
      <c r="N93">
        <v>7.2</v>
      </c>
      <c r="O93">
        <v>76.799000000000007</v>
      </c>
      <c r="P93">
        <v>1.704</v>
      </c>
      <c r="Q93">
        <v>26.291</v>
      </c>
      <c r="T93">
        <v>12.2</v>
      </c>
      <c r="V93">
        <v>99</v>
      </c>
      <c r="AA93">
        <v>107760</v>
      </c>
      <c r="AB93">
        <v>5.26388550363147</v>
      </c>
      <c r="AC93">
        <v>3266.122486604545</v>
      </c>
      <c r="AD93">
        <v>3664.2587305342959</v>
      </c>
      <c r="AE93">
        <v>422662261525.66516</v>
      </c>
      <c r="AF93">
        <v>4.3528108752134358</v>
      </c>
      <c r="AG93">
        <v>51.077655518983818</v>
      </c>
      <c r="AH93">
        <v>10.695041770619452</v>
      </c>
      <c r="AI93">
        <v>41.218777905132747</v>
      </c>
      <c r="AJ93">
        <v>25.566618517499514</v>
      </c>
      <c r="AK93">
        <v>23.351732304805683</v>
      </c>
      <c r="AL93">
        <v>40.725573351216205</v>
      </c>
      <c r="AN93">
        <v>381.63917075952418</v>
      </c>
      <c r="AO93">
        <v>2.1106213069938402</v>
      </c>
      <c r="AP93">
        <v>162.71299999999999</v>
      </c>
      <c r="AQ93">
        <v>0.81400792319732507</v>
      </c>
      <c r="AR93">
        <v>37.059376778659633</v>
      </c>
      <c r="AS93">
        <v>131.80000000000001</v>
      </c>
      <c r="AT93">
        <v>9459955524.3999996</v>
      </c>
      <c r="AU93">
        <v>4.178502857269862E-2</v>
      </c>
      <c r="AV93">
        <v>403190</v>
      </c>
      <c r="AX93">
        <v>1500000000</v>
      </c>
      <c r="AY93">
        <v>3.2494020508666228</v>
      </c>
      <c r="AZ93">
        <v>4721.2043709998425</v>
      </c>
      <c r="BB93">
        <v>43.488464174217867</v>
      </c>
    </row>
    <row r="94" spans="1:54" x14ac:dyDescent="0.25">
      <c r="A94">
        <v>92</v>
      </c>
      <c r="B94">
        <v>2022</v>
      </c>
      <c r="C94" t="s">
        <v>54</v>
      </c>
      <c r="D94" t="s">
        <v>239</v>
      </c>
      <c r="E94" t="s">
        <v>240</v>
      </c>
      <c r="F94">
        <v>44070551</v>
      </c>
      <c r="G94">
        <v>2.2936965922582599</v>
      </c>
      <c r="H94">
        <v>435050</v>
      </c>
      <c r="J94">
        <v>242777399394.97263</v>
      </c>
      <c r="K94">
        <v>5510</v>
      </c>
      <c r="L94">
        <v>632136749677.63013</v>
      </c>
      <c r="M94">
        <v>14340</v>
      </c>
      <c r="O94">
        <v>72.037000000000006</v>
      </c>
      <c r="P94">
        <v>3.294</v>
      </c>
      <c r="Q94">
        <v>58.978999999999999</v>
      </c>
      <c r="T94">
        <v>23.3</v>
      </c>
      <c r="V94">
        <v>97</v>
      </c>
      <c r="Z94">
        <v>0.1</v>
      </c>
      <c r="AA94">
        <v>8250</v>
      </c>
      <c r="AB94">
        <v>4.5843060355225331</v>
      </c>
      <c r="AC94">
        <v>1411.5886986739285</v>
      </c>
      <c r="AD94">
        <v>1373.1164831590147</v>
      </c>
      <c r="AE94">
        <v>287372232137.93103</v>
      </c>
      <c r="AF94">
        <v>7.9590480499266221</v>
      </c>
      <c r="AG94">
        <v>26.941610949221811</v>
      </c>
      <c r="AH94">
        <v>2.0587062138837426</v>
      </c>
      <c r="AI94">
        <v>65.27212455945093</v>
      </c>
      <c r="AJ94">
        <v>44.525946214534144</v>
      </c>
      <c r="AK94">
        <v>24.232847879555859</v>
      </c>
      <c r="AL94">
        <v>24.314860122715103</v>
      </c>
      <c r="AO94">
        <v>1.6400113452748499</v>
      </c>
      <c r="AP94">
        <v>99.132400000000004</v>
      </c>
      <c r="AR94">
        <v>60.283834214312634</v>
      </c>
      <c r="AS94">
        <v>143.5</v>
      </c>
      <c r="AT94">
        <v>22722727263.799999</v>
      </c>
      <c r="AU94">
        <v>1.6204506289654901</v>
      </c>
      <c r="AV94">
        <v>76821</v>
      </c>
      <c r="AW94">
        <v>633000000</v>
      </c>
      <c r="AX94">
        <v>-2088200000</v>
      </c>
      <c r="AY94">
        <v>35.64476698928452</v>
      </c>
      <c r="AZ94">
        <v>6520.7315456058404</v>
      </c>
      <c r="BA94">
        <v>2326500000</v>
      </c>
      <c r="BB94">
        <v>4.9947659638104351</v>
      </c>
    </row>
    <row r="95" spans="1:54" x14ac:dyDescent="0.25">
      <c r="A95">
        <v>93</v>
      </c>
      <c r="B95">
        <v>2022</v>
      </c>
      <c r="C95" t="s">
        <v>54</v>
      </c>
      <c r="D95" t="s">
        <v>241</v>
      </c>
      <c r="E95" t="s">
        <v>242</v>
      </c>
      <c r="F95">
        <v>5212836</v>
      </c>
      <c r="G95">
        <v>1.9810166406971501</v>
      </c>
      <c r="H95">
        <v>70280</v>
      </c>
      <c r="J95">
        <v>396010877094.18262</v>
      </c>
      <c r="K95">
        <v>75970</v>
      </c>
      <c r="L95">
        <v>485560147308.9798</v>
      </c>
      <c r="M95">
        <v>93150</v>
      </c>
      <c r="N95">
        <v>8.9</v>
      </c>
      <c r="O95">
        <v>82.509756097560981</v>
      </c>
      <c r="P95">
        <v>1.54</v>
      </c>
      <c r="Q95">
        <v>4.1509999999999998</v>
      </c>
      <c r="T95">
        <v>3.7</v>
      </c>
      <c r="V95">
        <v>90</v>
      </c>
      <c r="W95">
        <v>96.469947814941406</v>
      </c>
      <c r="X95">
        <v>133.15049743652301</v>
      </c>
      <c r="Z95">
        <v>0.2</v>
      </c>
      <c r="AA95">
        <v>7900.2</v>
      </c>
      <c r="AB95">
        <v>304.71109892764025</v>
      </c>
      <c r="AC95">
        <v>2600.1574064376855</v>
      </c>
      <c r="AD95">
        <v>6107.0403902981025</v>
      </c>
      <c r="AE95">
        <v>548341794599.08966</v>
      </c>
      <c r="AF95">
        <v>7.5111388841530413</v>
      </c>
      <c r="AG95">
        <v>8.004077185503661</v>
      </c>
      <c r="AH95">
        <v>1.172815303261239</v>
      </c>
      <c r="AI95">
        <v>40.75644760257201</v>
      </c>
      <c r="AJ95">
        <v>139.5059805386978</v>
      </c>
      <c r="AK95">
        <v>98.249439020680029</v>
      </c>
      <c r="AL95">
        <v>22.884085640508573</v>
      </c>
      <c r="AM95">
        <v>21.570079818555595</v>
      </c>
      <c r="AO95">
        <v>0.21250238091446799</v>
      </c>
      <c r="AP95">
        <v>110.60899999999999</v>
      </c>
      <c r="AQ95">
        <v>46.786780149771403</v>
      </c>
      <c r="AR95">
        <v>65.912356774527723</v>
      </c>
      <c r="AS95">
        <v>71.099999999999994</v>
      </c>
      <c r="AV95">
        <v>93535</v>
      </c>
      <c r="AW95">
        <v>2400590814.3804102</v>
      </c>
      <c r="AX95">
        <v>-35575910807.592499</v>
      </c>
      <c r="AZ95">
        <v>105190.68595273084</v>
      </c>
      <c r="BA95">
        <v>27133483179.278099</v>
      </c>
      <c r="BB95">
        <v>7.8294573643410468</v>
      </c>
    </row>
    <row r="96" spans="1:54" x14ac:dyDescent="0.25">
      <c r="A96">
        <v>94</v>
      </c>
      <c r="B96">
        <v>2022</v>
      </c>
      <c r="C96" t="s">
        <v>54</v>
      </c>
      <c r="D96" t="s">
        <v>243</v>
      </c>
      <c r="E96" t="s">
        <v>244</v>
      </c>
      <c r="F96">
        <v>84132</v>
      </c>
      <c r="G96">
        <v>3.0908594023931701E-2</v>
      </c>
      <c r="H96">
        <v>570</v>
      </c>
      <c r="J96">
        <v>6599683417.9373751</v>
      </c>
      <c r="K96">
        <v>78440</v>
      </c>
      <c r="O96">
        <v>80.956000000000003</v>
      </c>
      <c r="P96">
        <v>1.556</v>
      </c>
      <c r="Q96">
        <v>8.827</v>
      </c>
      <c r="AA96">
        <v>34.6</v>
      </c>
      <c r="AE96">
        <v>7431257410.9271269</v>
      </c>
      <c r="AF96">
        <v>-4.1653934521323208</v>
      </c>
      <c r="AG96">
        <v>9.0964749793131432</v>
      </c>
      <c r="AH96">
        <v>0.37246678301554126</v>
      </c>
      <c r="AI96">
        <v>6.9364640270001932</v>
      </c>
      <c r="AV96">
        <v>199</v>
      </c>
      <c r="AZ96">
        <v>88328.548125887028</v>
      </c>
    </row>
    <row r="97" spans="1:54" x14ac:dyDescent="0.25">
      <c r="A97">
        <v>95</v>
      </c>
      <c r="B97">
        <v>2022</v>
      </c>
      <c r="C97" t="s">
        <v>54</v>
      </c>
      <c r="D97" t="s">
        <v>245</v>
      </c>
      <c r="E97" t="s">
        <v>246</v>
      </c>
      <c r="F97">
        <v>9557500</v>
      </c>
      <c r="G97">
        <v>1.9663688478836101</v>
      </c>
      <c r="H97">
        <v>22070</v>
      </c>
      <c r="J97">
        <v>529962661359.12311</v>
      </c>
      <c r="K97">
        <v>55450</v>
      </c>
      <c r="L97">
        <v>511493550573.508</v>
      </c>
      <c r="M97">
        <v>53520</v>
      </c>
      <c r="O97">
        <v>82.700000000000017</v>
      </c>
      <c r="P97">
        <v>2.89</v>
      </c>
      <c r="Q97">
        <v>6.7370000000000001</v>
      </c>
      <c r="T97">
        <v>3.4</v>
      </c>
      <c r="V97">
        <v>98</v>
      </c>
      <c r="W97">
        <v>94.911956787109403</v>
      </c>
      <c r="X97">
        <v>96.585372924804702</v>
      </c>
      <c r="AA97">
        <v>1400</v>
      </c>
      <c r="AC97">
        <v>2501.4206426480669</v>
      </c>
      <c r="AD97">
        <v>6842.7936175778186</v>
      </c>
      <c r="AE97">
        <v>525181008025.57025</v>
      </c>
      <c r="AF97">
        <v>6.2632634384128636</v>
      </c>
      <c r="AG97">
        <v>4.9353036400876249</v>
      </c>
      <c r="AH97">
        <v>1.1618336562619018</v>
      </c>
      <c r="AI97">
        <v>19.426942979946588</v>
      </c>
      <c r="AJ97">
        <v>31.385328096864129</v>
      </c>
      <c r="AK97">
        <v>29.259524577431112</v>
      </c>
      <c r="AL97">
        <v>27.282152171809095</v>
      </c>
      <c r="AM97">
        <v>33.242781092999863</v>
      </c>
      <c r="AN97">
        <v>51.341782334000882</v>
      </c>
      <c r="AO97">
        <v>4.4330122005792294</v>
      </c>
      <c r="AP97">
        <v>151.13800000000001</v>
      </c>
      <c r="AQ97">
        <v>29.109054041052346</v>
      </c>
      <c r="AR97">
        <v>34.436508029855197</v>
      </c>
      <c r="AS97">
        <v>91.3</v>
      </c>
      <c r="AV97">
        <v>50004</v>
      </c>
      <c r="AW97">
        <v>3600600000</v>
      </c>
      <c r="AX97">
        <v>22883500000</v>
      </c>
      <c r="AZ97">
        <v>54949.621556429011</v>
      </c>
      <c r="BA97">
        <v>-11928200000</v>
      </c>
      <c r="BB97">
        <v>4.4116272548837099</v>
      </c>
    </row>
    <row r="98" spans="1:54" x14ac:dyDescent="0.25">
      <c r="A98">
        <v>96</v>
      </c>
      <c r="B98">
        <v>2022</v>
      </c>
      <c r="C98" t="s">
        <v>54</v>
      </c>
      <c r="D98" t="s">
        <v>247</v>
      </c>
      <c r="E98" t="s">
        <v>248</v>
      </c>
      <c r="F98">
        <v>59013667</v>
      </c>
      <c r="G98">
        <v>-0.20230086688254001</v>
      </c>
      <c r="H98">
        <v>302070</v>
      </c>
      <c r="J98">
        <v>2304963826976.6362</v>
      </c>
      <c r="K98">
        <v>39060</v>
      </c>
      <c r="L98">
        <v>3350103331871.4033</v>
      </c>
      <c r="M98">
        <v>56770</v>
      </c>
      <c r="N98">
        <v>6.8</v>
      </c>
      <c r="O98">
        <v>82.700000000000017</v>
      </c>
      <c r="P98">
        <v>1.24</v>
      </c>
      <c r="Q98">
        <v>2.988</v>
      </c>
      <c r="T98">
        <v>2.8</v>
      </c>
      <c r="V98">
        <v>94</v>
      </c>
      <c r="W98">
        <v>97.153457641601605</v>
      </c>
      <c r="X98">
        <v>101.35385894775401</v>
      </c>
      <c r="Z98">
        <v>0.3</v>
      </c>
      <c r="AA98">
        <v>96737.5</v>
      </c>
      <c r="AB98">
        <v>59.203875112321477</v>
      </c>
      <c r="AC98">
        <v>2411.651724173114</v>
      </c>
      <c r="AD98">
        <v>5215.6901214086556</v>
      </c>
      <c r="AE98">
        <v>2104067630319.4634</v>
      </c>
      <c r="AF98">
        <v>4.8211766991356484</v>
      </c>
      <c r="AG98">
        <v>3.455359171347709</v>
      </c>
      <c r="AH98">
        <v>1.890371751256686</v>
      </c>
      <c r="AI98">
        <v>23.279144111179946</v>
      </c>
      <c r="AJ98">
        <v>35.099140041257762</v>
      </c>
      <c r="AK98">
        <v>36.917362262011899</v>
      </c>
      <c r="AL98">
        <v>24.597729832239327</v>
      </c>
      <c r="AM98">
        <v>39.607669911493709</v>
      </c>
      <c r="AO98">
        <v>1.6516425262019601</v>
      </c>
      <c r="AP98">
        <v>131.67400000000001</v>
      </c>
      <c r="AQ98">
        <v>9.1591623127102508</v>
      </c>
      <c r="AR98">
        <v>64.297457957403822</v>
      </c>
      <c r="AS98">
        <v>89.9</v>
      </c>
      <c r="AV98">
        <v>231228</v>
      </c>
      <c r="AW98">
        <v>11587287040.3139</v>
      </c>
      <c r="AX98">
        <v>61897757337.973602</v>
      </c>
      <c r="AZ98">
        <v>35653.904210349501</v>
      </c>
      <c r="BA98">
        <v>-14640400570.197599</v>
      </c>
      <c r="BB98">
        <v>8.2012899116171791</v>
      </c>
    </row>
    <row r="99" spans="1:54" x14ac:dyDescent="0.25">
      <c r="A99">
        <v>97</v>
      </c>
      <c r="B99">
        <v>2022</v>
      </c>
      <c r="C99" t="s">
        <v>54</v>
      </c>
      <c r="D99" t="s">
        <v>249</v>
      </c>
      <c r="E99" t="s">
        <v>250</v>
      </c>
      <c r="F99">
        <v>2839144</v>
      </c>
      <c r="G99">
        <v>5.1507657001397499E-2</v>
      </c>
      <c r="H99">
        <v>10990</v>
      </c>
      <c r="J99">
        <v>17994404982.0658</v>
      </c>
      <c r="K99">
        <v>6340</v>
      </c>
      <c r="L99">
        <v>33117099098.56144</v>
      </c>
      <c r="M99">
        <v>11660</v>
      </c>
      <c r="O99">
        <v>71.480999999999995</v>
      </c>
      <c r="P99">
        <v>1.3720000000000001</v>
      </c>
      <c r="Q99">
        <v>36.811999999999998</v>
      </c>
      <c r="R99">
        <v>60.6</v>
      </c>
      <c r="T99">
        <v>19.3</v>
      </c>
      <c r="V99">
        <v>91</v>
      </c>
      <c r="X99">
        <v>82.858467102050795</v>
      </c>
      <c r="Z99">
        <v>1.2</v>
      </c>
      <c r="AA99">
        <v>6046.6109999999999</v>
      </c>
      <c r="AB99">
        <v>12.637590308437003</v>
      </c>
      <c r="AC99">
        <v>968.879419803617</v>
      </c>
      <c r="AD99">
        <v>1147.5289735215968</v>
      </c>
      <c r="AE99">
        <v>18813516805.214046</v>
      </c>
      <c r="AF99">
        <v>6.4393032365618552</v>
      </c>
      <c r="AG99">
        <v>12.656896989370097</v>
      </c>
      <c r="AH99">
        <v>6.7997968472522761</v>
      </c>
      <c r="AI99">
        <v>17.449449124856486</v>
      </c>
      <c r="AN99">
        <v>69.382827969634832</v>
      </c>
      <c r="AO99">
        <v>1.2899994472516001</v>
      </c>
      <c r="AP99">
        <v>105.762</v>
      </c>
      <c r="AQ99">
        <v>1.4709847551675832</v>
      </c>
      <c r="AR99">
        <v>51.197232817899049</v>
      </c>
      <c r="AS99">
        <v>113.3</v>
      </c>
      <c r="AT99">
        <v>15812061001.6</v>
      </c>
      <c r="AU99">
        <v>8.4268768172143176</v>
      </c>
      <c r="AV99">
        <v>-10003</v>
      </c>
      <c r="AW99">
        <v>363448201.39060998</v>
      </c>
      <c r="AX99">
        <v>318736000</v>
      </c>
      <c r="AY99">
        <v>34.031538246059483</v>
      </c>
      <c r="AZ99">
        <v>6626.4750238853849</v>
      </c>
      <c r="BA99">
        <v>-258446000.00000003</v>
      </c>
      <c r="BB99">
        <v>10.34956883912716</v>
      </c>
    </row>
    <row r="100" spans="1:54" x14ac:dyDescent="0.25">
      <c r="A100">
        <v>98</v>
      </c>
      <c r="B100">
        <v>2022</v>
      </c>
      <c r="C100" t="s">
        <v>54</v>
      </c>
      <c r="D100" t="s">
        <v>251</v>
      </c>
      <c r="E100" t="s">
        <v>252</v>
      </c>
      <c r="F100">
        <v>125124989</v>
      </c>
      <c r="G100">
        <v>-0.44385191914852801</v>
      </c>
      <c r="H100">
        <v>377969.27</v>
      </c>
      <c r="J100">
        <v>5334916887561.3115</v>
      </c>
      <c r="K100">
        <v>42640</v>
      </c>
      <c r="L100">
        <v>6296338124328.8818</v>
      </c>
      <c r="M100">
        <v>50320</v>
      </c>
      <c r="O100">
        <v>83.996341463414637</v>
      </c>
      <c r="P100">
        <v>1.26</v>
      </c>
      <c r="Q100">
        <v>1.821</v>
      </c>
      <c r="T100">
        <v>2.4</v>
      </c>
      <c r="V100">
        <v>98</v>
      </c>
      <c r="X100">
        <v>102.337966918945</v>
      </c>
      <c r="AA100">
        <v>249350</v>
      </c>
      <c r="AB100">
        <v>56.89235356029922</v>
      </c>
      <c r="AC100">
        <v>3129.6586171749914</v>
      </c>
      <c r="AD100">
        <v>7800.0806058012922</v>
      </c>
      <c r="AE100">
        <v>4262463317796.5278</v>
      </c>
      <c r="AF100">
        <v>0.94199877548328459</v>
      </c>
      <c r="AG100">
        <v>0.39904896876275586</v>
      </c>
      <c r="AH100">
        <v>0.92188130011097125</v>
      </c>
      <c r="AI100">
        <v>27.717437458296612</v>
      </c>
      <c r="AJ100">
        <v>21.546424123916605</v>
      </c>
      <c r="AK100">
        <v>25.266562712977205</v>
      </c>
      <c r="AL100">
        <v>26.775574213300125</v>
      </c>
      <c r="AN100">
        <v>126.2292495875701</v>
      </c>
      <c r="AO100">
        <v>1.00994395391657</v>
      </c>
      <c r="AP100">
        <v>168.60300000000001</v>
      </c>
      <c r="AQ100">
        <v>18.259261535190227</v>
      </c>
      <c r="AR100">
        <v>38.569481481188859</v>
      </c>
      <c r="AS100">
        <v>79.3</v>
      </c>
      <c r="AV100">
        <v>175003</v>
      </c>
      <c r="AW100">
        <v>4529698512.6893101</v>
      </c>
      <c r="AX100">
        <v>48153832744.058601</v>
      </c>
      <c r="AZ100">
        <v>34065.64389625263</v>
      </c>
      <c r="BA100">
        <v>126789609309.09201</v>
      </c>
      <c r="BB100">
        <v>2.497702781722547</v>
      </c>
    </row>
    <row r="101" spans="1:54" x14ac:dyDescent="0.25">
      <c r="A101">
        <v>99</v>
      </c>
      <c r="B101">
        <v>2022</v>
      </c>
      <c r="C101" t="s">
        <v>54</v>
      </c>
      <c r="D101" t="s">
        <v>253</v>
      </c>
      <c r="E101" t="s">
        <v>254</v>
      </c>
      <c r="F101">
        <v>11256263</v>
      </c>
      <c r="G101">
        <v>1.70151702842564</v>
      </c>
      <c r="H101">
        <v>89318</v>
      </c>
      <c r="J101">
        <v>49249595198.897957</v>
      </c>
      <c r="K101">
        <v>4380</v>
      </c>
      <c r="L101">
        <v>110584589350.14922</v>
      </c>
      <c r="M101">
        <v>9820</v>
      </c>
      <c r="O101">
        <v>77.087999999999994</v>
      </c>
      <c r="P101">
        <v>2.6789999999999998</v>
      </c>
      <c r="Q101">
        <v>18.875</v>
      </c>
      <c r="T101">
        <v>13.6</v>
      </c>
      <c r="V101">
        <v>86</v>
      </c>
      <c r="W101">
        <v>95.780361912795499</v>
      </c>
      <c r="X101">
        <v>90.991265889913294</v>
      </c>
      <c r="Z101">
        <v>0.1</v>
      </c>
      <c r="AA101">
        <v>975</v>
      </c>
      <c r="AB101">
        <v>46.332406370873521</v>
      </c>
      <c r="AC101">
        <v>754.3055031178651</v>
      </c>
      <c r="AD101">
        <v>1790.6475710455593</v>
      </c>
      <c r="AE101">
        <v>48764963380.281693</v>
      </c>
      <c r="AF101">
        <v>2.6474351491205823</v>
      </c>
      <c r="AG101">
        <v>2.6160732013135117</v>
      </c>
      <c r="AH101">
        <v>4.8178445711600144</v>
      </c>
      <c r="AI101">
        <v>24.488201584582608</v>
      </c>
      <c r="AJ101">
        <v>42.537467156343254</v>
      </c>
      <c r="AK101">
        <v>61.557992282845419</v>
      </c>
      <c r="AM101">
        <v>23.457733045695125</v>
      </c>
      <c r="AN101">
        <v>52.146127541812803</v>
      </c>
      <c r="AO101">
        <v>4.7983769063779995</v>
      </c>
      <c r="AP101">
        <v>67.745699999999999</v>
      </c>
      <c r="AQ101">
        <v>1.4496882666855755</v>
      </c>
      <c r="AR101">
        <v>82.321398843154654</v>
      </c>
      <c r="AS101">
        <v>100</v>
      </c>
      <c r="AT101">
        <v>41170195546.699997</v>
      </c>
      <c r="AU101">
        <v>10.449351200165502</v>
      </c>
      <c r="AV101">
        <v>-17445</v>
      </c>
      <c r="AW101">
        <v>522253521.12676001</v>
      </c>
      <c r="AX101">
        <v>962535211.26760495</v>
      </c>
      <c r="AY101">
        <v>176.57088505416939</v>
      </c>
      <c r="AZ101">
        <v>4332.2515989793146</v>
      </c>
      <c r="BA101">
        <v>-840563380.28169</v>
      </c>
      <c r="BB101">
        <v>4.2291556889711748</v>
      </c>
    </row>
    <row r="102" spans="1:54" x14ac:dyDescent="0.25">
      <c r="A102">
        <v>100</v>
      </c>
      <c r="B102">
        <v>2022</v>
      </c>
      <c r="C102" t="s">
        <v>54</v>
      </c>
      <c r="D102" t="s">
        <v>255</v>
      </c>
      <c r="E102" t="s">
        <v>256</v>
      </c>
      <c r="F102">
        <v>20034609</v>
      </c>
      <c r="G102">
        <v>1.4631687903974899</v>
      </c>
      <c r="H102">
        <v>2724902</v>
      </c>
      <c r="I102">
        <v>5.2</v>
      </c>
      <c r="J102">
        <v>188688263602.4776</v>
      </c>
      <c r="K102">
        <v>9420</v>
      </c>
      <c r="L102">
        <v>637771921845.05103</v>
      </c>
      <c r="M102">
        <v>31830</v>
      </c>
      <c r="O102">
        <v>73.503</v>
      </c>
      <c r="P102">
        <v>3.05</v>
      </c>
      <c r="Q102">
        <v>18.411999999999999</v>
      </c>
      <c r="T102">
        <v>9.8000000000000007</v>
      </c>
      <c r="V102">
        <v>99</v>
      </c>
      <c r="W102">
        <v>100.5284526481</v>
      </c>
      <c r="X102">
        <v>94.043341337867304</v>
      </c>
      <c r="Z102">
        <v>0.3</v>
      </c>
      <c r="AA102">
        <v>35131.589</v>
      </c>
      <c r="AB102">
        <v>8.8740560442641385</v>
      </c>
      <c r="AC102">
        <v>3506.5455500538646</v>
      </c>
      <c r="AD102">
        <v>5271.5278845721423</v>
      </c>
      <c r="AE102">
        <v>225496328925.49411</v>
      </c>
      <c r="AF102">
        <v>3.1999999997073445</v>
      </c>
      <c r="AG102">
        <v>19.769006480249217</v>
      </c>
      <c r="AH102">
        <v>5.2471448073007361</v>
      </c>
      <c r="AI102">
        <v>34.979397423758058</v>
      </c>
      <c r="AJ102">
        <v>41.569008904154444</v>
      </c>
      <c r="AK102">
        <v>26.765305837406782</v>
      </c>
      <c r="AL102">
        <v>24.975909579180421</v>
      </c>
      <c r="AM102">
        <v>16.887760573627627</v>
      </c>
      <c r="AN102">
        <v>20.305647643216801</v>
      </c>
      <c r="AO102">
        <v>0.51743584959628197</v>
      </c>
      <c r="AP102">
        <v>125.642</v>
      </c>
      <c r="AQ102">
        <v>32.266649711026922</v>
      </c>
      <c r="AR102">
        <v>60.101643625772404</v>
      </c>
      <c r="AS102">
        <v>144.4</v>
      </c>
      <c r="AT102">
        <v>169570449960.29999</v>
      </c>
      <c r="AU102">
        <v>24.89389827810249</v>
      </c>
      <c r="AV102">
        <v>45755</v>
      </c>
      <c r="AW102">
        <v>2754164513.8354902</v>
      </c>
      <c r="AX102">
        <v>5081682329.1099997</v>
      </c>
      <c r="AY102">
        <v>3.727745032836443</v>
      </c>
      <c r="AZ102">
        <v>11255.339643788113</v>
      </c>
      <c r="BA102">
        <v>-7934610132.9099998</v>
      </c>
      <c r="BB102">
        <v>15.0278644440851</v>
      </c>
    </row>
    <row r="103" spans="1:54" x14ac:dyDescent="0.25">
      <c r="A103">
        <v>101</v>
      </c>
      <c r="B103">
        <v>2022</v>
      </c>
      <c r="C103" t="s">
        <v>54</v>
      </c>
      <c r="D103" t="s">
        <v>257</v>
      </c>
      <c r="E103" t="s">
        <v>258</v>
      </c>
      <c r="F103">
        <v>54252461</v>
      </c>
      <c r="G103">
        <v>1.92297608206469</v>
      </c>
      <c r="H103">
        <v>591969</v>
      </c>
      <c r="I103">
        <v>39.799999999999997</v>
      </c>
      <c r="J103">
        <v>117689640763.89378</v>
      </c>
      <c r="K103">
        <v>2170</v>
      </c>
      <c r="L103">
        <v>314271691878.34845</v>
      </c>
      <c r="M103">
        <v>5790</v>
      </c>
      <c r="N103">
        <v>7.2</v>
      </c>
      <c r="O103">
        <v>63.548999999999999</v>
      </c>
      <c r="P103">
        <v>3.262</v>
      </c>
      <c r="Q103">
        <v>57.271999999999998</v>
      </c>
      <c r="R103">
        <v>62.5</v>
      </c>
      <c r="T103">
        <v>41.1</v>
      </c>
      <c r="U103">
        <v>9.8000000000000007</v>
      </c>
      <c r="V103">
        <v>89</v>
      </c>
      <c r="X103">
        <v>83.773819228621804</v>
      </c>
      <c r="Z103">
        <v>3.4</v>
      </c>
      <c r="AA103">
        <v>36110.9</v>
      </c>
      <c r="AB103">
        <v>23.513866822327628</v>
      </c>
      <c r="AC103">
        <v>541.12804988998005</v>
      </c>
      <c r="AD103">
        <v>189.35546536773697</v>
      </c>
      <c r="AE103">
        <v>114448978152.63741</v>
      </c>
      <c r="AF103">
        <v>4.8599810428799941</v>
      </c>
      <c r="AG103">
        <v>6.9570544563121786</v>
      </c>
      <c r="AH103">
        <v>21.036192064993276</v>
      </c>
      <c r="AI103">
        <v>17.527448096843489</v>
      </c>
      <c r="AJ103">
        <v>15.957028362946918</v>
      </c>
      <c r="AK103">
        <v>24.318295474409179</v>
      </c>
      <c r="AL103">
        <v>19.054063851360919</v>
      </c>
      <c r="AM103">
        <v>17.882609486597197</v>
      </c>
      <c r="AN103">
        <v>14.07411429966429</v>
      </c>
      <c r="AO103">
        <v>1.0102052003881301</v>
      </c>
      <c r="AP103">
        <v>121.169</v>
      </c>
      <c r="AQ103">
        <v>2.260738110257122</v>
      </c>
      <c r="AR103">
        <v>24.969205021549126</v>
      </c>
      <c r="AS103">
        <v>86.5</v>
      </c>
      <c r="AT103">
        <v>41556299639.800003</v>
      </c>
      <c r="AU103">
        <v>2.9611057740299134</v>
      </c>
      <c r="AV103">
        <v>-10003</v>
      </c>
      <c r="AW103">
        <v>11426138.355276899</v>
      </c>
      <c r="AX103">
        <v>791581760.055161</v>
      </c>
      <c r="AY103">
        <v>48.649686774117029</v>
      </c>
      <c r="AZ103">
        <v>2109.562885131375</v>
      </c>
      <c r="BA103">
        <v>-250399759.45629999</v>
      </c>
      <c r="BB103">
        <v>7.6598626827222391</v>
      </c>
    </row>
    <row r="104" spans="1:54" x14ac:dyDescent="0.25">
      <c r="A104">
        <v>102</v>
      </c>
      <c r="B104">
        <v>2022</v>
      </c>
      <c r="C104" t="s">
        <v>54</v>
      </c>
      <c r="D104" t="s">
        <v>259</v>
      </c>
      <c r="E104" t="s">
        <v>260</v>
      </c>
      <c r="F104">
        <v>130469</v>
      </c>
      <c r="G104">
        <v>1.6164403166341099</v>
      </c>
      <c r="H104">
        <v>810</v>
      </c>
      <c r="J104">
        <v>470818753.76533461</v>
      </c>
      <c r="K104">
        <v>3610</v>
      </c>
      <c r="L104">
        <v>719769320.9472183</v>
      </c>
      <c r="M104">
        <v>5520</v>
      </c>
      <c r="O104">
        <v>66.269000000000005</v>
      </c>
      <c r="P104">
        <v>3.1819999999999999</v>
      </c>
      <c r="Q104">
        <v>45.011000000000003</v>
      </c>
      <c r="T104">
        <v>56.5</v>
      </c>
      <c r="V104">
        <v>85</v>
      </c>
      <c r="W104">
        <v>104.610655737705</v>
      </c>
      <c r="X104">
        <v>88.685300811110494</v>
      </c>
      <c r="AA104">
        <v>11.8</v>
      </c>
      <c r="AE104">
        <v>270040453.25401759</v>
      </c>
      <c r="AF104">
        <v>4.5663259310037176</v>
      </c>
      <c r="AG104">
        <v>-1.9586692131741756</v>
      </c>
      <c r="AH104">
        <v>27.472981040950913</v>
      </c>
      <c r="AI104">
        <v>10.602697480820771</v>
      </c>
      <c r="AJ104">
        <v>7.6047763112243123</v>
      </c>
      <c r="AK104">
        <v>100.08110170468494</v>
      </c>
      <c r="AL104">
        <v>20.15784270263612</v>
      </c>
      <c r="AM104">
        <v>66.12739400669291</v>
      </c>
      <c r="AP104">
        <v>49.112000000000002</v>
      </c>
      <c r="AR104">
        <v>78.136441209984085</v>
      </c>
      <c r="AS104">
        <v>107.2</v>
      </c>
      <c r="AV104">
        <v>-395</v>
      </c>
      <c r="AW104">
        <v>1612317.1214248701</v>
      </c>
      <c r="AX104">
        <v>4270167.1269406704</v>
      </c>
      <c r="AY104">
        <v>697.89063269085375</v>
      </c>
      <c r="AZ104">
        <v>2069.7671726924987</v>
      </c>
      <c r="BA104">
        <v>-4252892.4353351602</v>
      </c>
      <c r="BB104">
        <v>5.345954409089039</v>
      </c>
    </row>
    <row r="105" spans="1:54" x14ac:dyDescent="0.25">
      <c r="A105">
        <v>103</v>
      </c>
      <c r="B105">
        <v>2022</v>
      </c>
      <c r="C105" t="s">
        <v>54</v>
      </c>
      <c r="D105" t="s">
        <v>261</v>
      </c>
      <c r="E105" t="s">
        <v>262</v>
      </c>
      <c r="F105">
        <v>26328845</v>
      </c>
      <c r="G105">
        <v>0.36647100826193102</v>
      </c>
      <c r="H105">
        <v>120540</v>
      </c>
      <c r="O105">
        <v>73.641000000000005</v>
      </c>
      <c r="P105">
        <v>1.7969999999999999</v>
      </c>
      <c r="Q105">
        <v>0.52500000000000002</v>
      </c>
      <c r="T105">
        <v>17.7</v>
      </c>
      <c r="V105">
        <v>99</v>
      </c>
      <c r="AA105">
        <v>59880</v>
      </c>
      <c r="AC105">
        <v>640.51427802703074</v>
      </c>
      <c r="AD105">
        <v>829.77434065185923</v>
      </c>
      <c r="AP105">
        <v>24.1311</v>
      </c>
      <c r="AS105">
        <v>163</v>
      </c>
      <c r="AV105">
        <v>-1997</v>
      </c>
      <c r="AY105">
        <v>0.51631638865227847</v>
      </c>
    </row>
    <row r="106" spans="1:54" x14ac:dyDescent="0.25">
      <c r="A106">
        <v>104</v>
      </c>
      <c r="B106">
        <v>2022</v>
      </c>
      <c r="C106" t="s">
        <v>54</v>
      </c>
      <c r="D106" t="s">
        <v>263</v>
      </c>
      <c r="E106" t="s">
        <v>264</v>
      </c>
      <c r="F106">
        <v>51672569</v>
      </c>
      <c r="G106">
        <v>-0.18748656669893499</v>
      </c>
      <c r="H106">
        <v>100440</v>
      </c>
      <c r="J106">
        <v>1993924290011.2747</v>
      </c>
      <c r="K106">
        <v>38590</v>
      </c>
      <c r="L106">
        <v>2880007887458.0181</v>
      </c>
      <c r="M106">
        <v>55740</v>
      </c>
      <c r="O106">
        <v>82.680487804878055</v>
      </c>
      <c r="P106">
        <v>0.77800000000000002</v>
      </c>
      <c r="Q106">
        <v>0.65100000000000002</v>
      </c>
      <c r="T106">
        <v>2.8</v>
      </c>
      <c r="V106">
        <v>97</v>
      </c>
      <c r="W106">
        <v>96.015602111816406</v>
      </c>
      <c r="X106">
        <v>97.818130493164105</v>
      </c>
      <c r="AA106">
        <v>62670</v>
      </c>
      <c r="AB106">
        <v>63.374447270122268</v>
      </c>
      <c r="AC106">
        <v>5411.9747773138197</v>
      </c>
      <c r="AD106">
        <v>11705.630505810539</v>
      </c>
      <c r="AE106">
        <v>1799363116866.521</v>
      </c>
      <c r="AF106">
        <v>2.7275645670899138</v>
      </c>
      <c r="AG106">
        <v>1.8078503190031086</v>
      </c>
      <c r="AH106">
        <v>1.4483461547481982</v>
      </c>
      <c r="AI106">
        <v>32.511258050724649</v>
      </c>
      <c r="AJ106">
        <v>45.294860984132974</v>
      </c>
      <c r="AK106">
        <v>45.290286543721948</v>
      </c>
      <c r="AL106">
        <v>33.325486927234763</v>
      </c>
      <c r="AM106">
        <v>29.772922877086334</v>
      </c>
      <c r="AN106">
        <v>91.393869563349043</v>
      </c>
      <c r="AO106">
        <v>2.5764256039500899</v>
      </c>
      <c r="AP106">
        <v>148.684</v>
      </c>
      <c r="AQ106">
        <v>36.118278931216977</v>
      </c>
      <c r="AR106">
        <v>78.636434566028896</v>
      </c>
      <c r="AS106">
        <v>85.5</v>
      </c>
      <c r="AV106">
        <v>87800</v>
      </c>
      <c r="AW106">
        <v>8568600000</v>
      </c>
      <c r="AX106">
        <v>25044700000</v>
      </c>
      <c r="AZ106">
        <v>34822.404840497111</v>
      </c>
      <c r="BA106">
        <v>40754300000</v>
      </c>
      <c r="BB106">
        <v>5.0895136506284162</v>
      </c>
    </row>
    <row r="107" spans="1:54" x14ac:dyDescent="0.25">
      <c r="A107">
        <v>105</v>
      </c>
      <c r="B107">
        <v>2022</v>
      </c>
      <c r="C107" t="s">
        <v>54</v>
      </c>
      <c r="D107" t="s">
        <v>265</v>
      </c>
      <c r="E107" t="s">
        <v>266</v>
      </c>
      <c r="F107">
        <v>1768096</v>
      </c>
      <c r="G107">
        <v>-1.0119453014925099</v>
      </c>
      <c r="J107">
        <v>9902240729.2049465</v>
      </c>
      <c r="K107">
        <v>5600</v>
      </c>
      <c r="L107">
        <v>24986820599.314968</v>
      </c>
      <c r="M107">
        <v>14130</v>
      </c>
      <c r="N107">
        <v>4.5</v>
      </c>
      <c r="O107">
        <v>77.623000000000005</v>
      </c>
      <c r="P107">
        <v>1.5549999999999999</v>
      </c>
      <c r="Q107">
        <v>8</v>
      </c>
      <c r="T107">
        <v>9.5</v>
      </c>
      <c r="AE107">
        <v>9354907646.2978477</v>
      </c>
      <c r="AF107">
        <v>4.2784989582754349</v>
      </c>
      <c r="AG107">
        <v>7.1987107549257985</v>
      </c>
      <c r="AH107">
        <v>7.3926054610264007</v>
      </c>
      <c r="AI107">
        <v>27.244181391807547</v>
      </c>
      <c r="AJ107">
        <v>38.625657014879167</v>
      </c>
      <c r="AK107">
        <v>71.386374604346557</v>
      </c>
      <c r="AL107">
        <v>35.232645965866531</v>
      </c>
      <c r="AO107">
        <v>1.1500461457350901</v>
      </c>
      <c r="AP107">
        <v>34.540199999999999</v>
      </c>
      <c r="AT107">
        <v>3660395633.4000001</v>
      </c>
      <c r="AU107">
        <v>3.1935285134128368</v>
      </c>
      <c r="AV107">
        <v>-28588</v>
      </c>
      <c r="AW107">
        <v>60712231.866646796</v>
      </c>
      <c r="AX107">
        <v>764162311.373721</v>
      </c>
      <c r="AY107">
        <v>216.31341885565038</v>
      </c>
      <c r="AZ107">
        <v>5290.9500650970576</v>
      </c>
      <c r="BA107">
        <v>-580579735.53978503</v>
      </c>
      <c r="BB107">
        <v>11.580510454201249</v>
      </c>
    </row>
    <row r="108" spans="1:54" x14ac:dyDescent="0.25">
      <c r="A108">
        <v>106</v>
      </c>
      <c r="B108">
        <v>2022</v>
      </c>
      <c r="C108" t="s">
        <v>54</v>
      </c>
      <c r="D108" t="s">
        <v>267</v>
      </c>
      <c r="E108" t="s">
        <v>268</v>
      </c>
      <c r="F108">
        <v>4589643</v>
      </c>
      <c r="G108">
        <v>5.1131811091057404</v>
      </c>
      <c r="H108">
        <v>17820</v>
      </c>
      <c r="J108">
        <v>179549952220.70966</v>
      </c>
      <c r="K108">
        <v>39120</v>
      </c>
      <c r="L108">
        <v>288419747870.46448</v>
      </c>
      <c r="M108">
        <v>62840</v>
      </c>
      <c r="O108">
        <v>80.587804878048786</v>
      </c>
      <c r="P108">
        <v>1.546</v>
      </c>
      <c r="Q108">
        <v>1.671</v>
      </c>
      <c r="T108">
        <v>8.8000000000000007</v>
      </c>
      <c r="U108">
        <v>2.9</v>
      </c>
      <c r="V108">
        <v>99</v>
      </c>
      <c r="Z108">
        <v>0.1</v>
      </c>
      <c r="AA108">
        <v>62.5</v>
      </c>
      <c r="AB108">
        <v>158.41051894018105</v>
      </c>
      <c r="AC108">
        <v>9129.5979862900458</v>
      </c>
      <c r="AD108">
        <v>16570.569867852468</v>
      </c>
      <c r="AE108">
        <v>183502046693.87753</v>
      </c>
      <c r="AF108">
        <v>6.7586671196661712</v>
      </c>
      <c r="AG108">
        <v>17.63352169308277</v>
      </c>
      <c r="AH108">
        <v>0.40246023889980104</v>
      </c>
      <c r="AI108">
        <v>65.766328958060555</v>
      </c>
      <c r="AJ108">
        <v>60.44930630706434</v>
      </c>
      <c r="AK108">
        <v>30.471105389955248</v>
      </c>
      <c r="AL108">
        <v>16.549312161772999</v>
      </c>
      <c r="AN108">
        <v>83.205071960156076</v>
      </c>
      <c r="AO108">
        <v>4.51075426849442</v>
      </c>
      <c r="AP108">
        <v>168.35</v>
      </c>
      <c r="AQ108">
        <v>0.7163548082807456</v>
      </c>
      <c r="AR108">
        <v>73.325067716800191</v>
      </c>
      <c r="AS108">
        <v>164.3</v>
      </c>
      <c r="AV108">
        <v>368560</v>
      </c>
      <c r="AW108">
        <v>17744092398.618599</v>
      </c>
      <c r="AX108">
        <v>752255305.96694601</v>
      </c>
      <c r="AZ108">
        <v>39981.769103583334</v>
      </c>
      <c r="BA108">
        <v>23796283534.281601</v>
      </c>
      <c r="BB108">
        <v>3.980649619903132</v>
      </c>
    </row>
    <row r="109" spans="1:54" x14ac:dyDescent="0.25">
      <c r="A109">
        <v>107</v>
      </c>
      <c r="B109">
        <v>2022</v>
      </c>
      <c r="C109" t="s">
        <v>54</v>
      </c>
      <c r="D109" t="s">
        <v>269</v>
      </c>
      <c r="E109" t="s">
        <v>270</v>
      </c>
      <c r="F109">
        <v>6975220</v>
      </c>
      <c r="G109">
        <v>1.7936545985598</v>
      </c>
      <c r="H109">
        <v>199950</v>
      </c>
      <c r="J109">
        <v>10727385192.917633</v>
      </c>
      <c r="K109">
        <v>1540</v>
      </c>
      <c r="L109">
        <v>44857189454.004333</v>
      </c>
      <c r="M109">
        <v>6430</v>
      </c>
      <c r="N109">
        <v>10</v>
      </c>
      <c r="O109">
        <v>72.048780487804876</v>
      </c>
      <c r="P109">
        <v>2.8</v>
      </c>
      <c r="Q109">
        <v>28.853999999999999</v>
      </c>
      <c r="T109">
        <v>17.2</v>
      </c>
      <c r="V109">
        <v>94</v>
      </c>
      <c r="W109">
        <v>96.344569491893793</v>
      </c>
      <c r="Z109">
        <v>0.3</v>
      </c>
      <c r="AA109">
        <v>13518.6</v>
      </c>
      <c r="AB109">
        <v>1.0970817589894035</v>
      </c>
      <c r="AC109">
        <v>645.01424617181249</v>
      </c>
      <c r="AD109">
        <v>1971.4073534598192</v>
      </c>
      <c r="AE109">
        <v>12134931017.946526</v>
      </c>
      <c r="AF109">
        <v>8.9675052004139104</v>
      </c>
      <c r="AG109">
        <v>19.657284242177425</v>
      </c>
      <c r="AH109">
        <v>10.996805665197739</v>
      </c>
      <c r="AI109">
        <v>24.194142197764261</v>
      </c>
      <c r="AJ109">
        <v>46.337271830779223</v>
      </c>
      <c r="AK109">
        <v>87.449446217986363</v>
      </c>
      <c r="AL109">
        <v>35.640688179981552</v>
      </c>
      <c r="AM109">
        <v>29.879149005539681</v>
      </c>
      <c r="AO109">
        <v>2.9043700059740702</v>
      </c>
      <c r="AP109">
        <v>106.926</v>
      </c>
      <c r="AQ109">
        <v>10.554052011145705</v>
      </c>
      <c r="AR109">
        <v>99.366036627379657</v>
      </c>
      <c r="AS109">
        <v>107.8</v>
      </c>
      <c r="AT109">
        <v>9745837593.3999996</v>
      </c>
      <c r="AU109">
        <v>5.1443565110727683</v>
      </c>
      <c r="AV109">
        <v>12596</v>
      </c>
      <c r="AW109">
        <v>1223920041.47718</v>
      </c>
      <c r="AX109">
        <v>54849000</v>
      </c>
      <c r="AY109">
        <v>105.40379524151655</v>
      </c>
      <c r="AZ109">
        <v>1739.7201834417447</v>
      </c>
      <c r="BA109">
        <v>-509461000</v>
      </c>
      <c r="BB109">
        <v>13.922909317417581</v>
      </c>
    </row>
    <row r="110" spans="1:54" x14ac:dyDescent="0.25">
      <c r="A110">
        <v>108</v>
      </c>
      <c r="B110">
        <v>2022</v>
      </c>
      <c r="C110" t="s">
        <v>54</v>
      </c>
      <c r="D110" t="s">
        <v>271</v>
      </c>
      <c r="E110" t="s">
        <v>272</v>
      </c>
      <c r="F110">
        <v>7559007</v>
      </c>
      <c r="G110">
        <v>1.4097167010579099</v>
      </c>
      <c r="H110">
        <v>236800</v>
      </c>
      <c r="J110">
        <v>17366641629.524628</v>
      </c>
      <c r="K110">
        <v>2300</v>
      </c>
      <c r="L110">
        <v>61306975814.456566</v>
      </c>
      <c r="M110">
        <v>8110</v>
      </c>
      <c r="O110">
        <v>68.715000000000003</v>
      </c>
      <c r="P110">
        <v>2.4550000000000001</v>
      </c>
      <c r="Q110">
        <v>82.430999999999997</v>
      </c>
      <c r="T110">
        <v>40.4</v>
      </c>
      <c r="V110">
        <v>65</v>
      </c>
      <c r="W110">
        <v>88.250221968964098</v>
      </c>
      <c r="X110">
        <v>56.878204461496402</v>
      </c>
      <c r="Z110">
        <v>0.4</v>
      </c>
      <c r="AA110">
        <v>165265</v>
      </c>
      <c r="AB110">
        <v>2.6626732274403047</v>
      </c>
      <c r="AC110">
        <v>815.08654044285583</v>
      </c>
      <c r="AD110">
        <v>1263.525751464445</v>
      </c>
      <c r="AE110">
        <v>15468785203.753174</v>
      </c>
      <c r="AF110">
        <v>2.7074265264315471</v>
      </c>
      <c r="AG110">
        <v>15.773945922601101</v>
      </c>
      <c r="AH110">
        <v>14.868882228227642</v>
      </c>
      <c r="AI110">
        <v>34.108979734211154</v>
      </c>
      <c r="AM110">
        <v>13.913988523688362</v>
      </c>
      <c r="AP110">
        <v>63.354599999999998</v>
      </c>
      <c r="AQ110">
        <v>9.5176778329732628</v>
      </c>
      <c r="AR110">
        <v>99.826843521321408</v>
      </c>
      <c r="AS110">
        <v>181.2</v>
      </c>
      <c r="AT110">
        <v>18494671983</v>
      </c>
      <c r="AU110">
        <v>9.4186299279709136</v>
      </c>
      <c r="AV110">
        <v>-10003</v>
      </c>
      <c r="AW110">
        <v>148056417.37957701</v>
      </c>
      <c r="AX110">
        <v>726273736.49214303</v>
      </c>
      <c r="AY110">
        <v>72.408161716152804</v>
      </c>
      <c r="AZ110">
        <v>2046.4044025562052</v>
      </c>
      <c r="BA110">
        <v>-726273736.49214303</v>
      </c>
      <c r="BB110">
        <v>22.956222513205589</v>
      </c>
    </row>
    <row r="111" spans="1:54" x14ac:dyDescent="0.25">
      <c r="A111">
        <v>109</v>
      </c>
      <c r="B111">
        <v>2022</v>
      </c>
      <c r="C111" t="s">
        <v>54</v>
      </c>
      <c r="D111" t="s">
        <v>273</v>
      </c>
      <c r="E111" t="s">
        <v>274</v>
      </c>
      <c r="F111">
        <v>1879383</v>
      </c>
      <c r="G111">
        <v>-0.27136957777569898</v>
      </c>
      <c r="H111">
        <v>64590</v>
      </c>
      <c r="I111">
        <v>22.5</v>
      </c>
      <c r="J111">
        <v>38772116667.736359</v>
      </c>
      <c r="K111">
        <v>20630</v>
      </c>
      <c r="L111">
        <v>73792353285.054413</v>
      </c>
      <c r="M111">
        <v>39260</v>
      </c>
      <c r="N111">
        <v>7.1</v>
      </c>
      <c r="O111">
        <v>74.278048780487822</v>
      </c>
      <c r="P111">
        <v>1.47</v>
      </c>
      <c r="Q111">
        <v>8.61</v>
      </c>
      <c r="T111">
        <v>3.2</v>
      </c>
      <c r="V111">
        <v>96</v>
      </c>
      <c r="W111">
        <v>98.448303222656193</v>
      </c>
      <c r="X111">
        <v>104.764526367188</v>
      </c>
      <c r="Z111">
        <v>0.6</v>
      </c>
      <c r="AA111">
        <v>34185.300000000003</v>
      </c>
      <c r="AB111">
        <v>179.08278545011171</v>
      </c>
      <c r="AC111">
        <v>2256.1190453886675</v>
      </c>
      <c r="AD111">
        <v>3714.5169451889265</v>
      </c>
      <c r="AE111">
        <v>38003198508.910652</v>
      </c>
      <c r="AF111">
        <v>1.9085341902980133</v>
      </c>
      <c r="AG111">
        <v>9.692465702593438</v>
      </c>
      <c r="AH111">
        <v>5.114110384568705</v>
      </c>
      <c r="AI111">
        <v>20.581400181884987</v>
      </c>
      <c r="AJ111">
        <v>77.501483842328653</v>
      </c>
      <c r="AK111">
        <v>82.391294348320272</v>
      </c>
      <c r="AL111">
        <v>24.6702240089291</v>
      </c>
      <c r="AM111">
        <v>30.93887733403826</v>
      </c>
      <c r="AO111">
        <v>2.25461931057619</v>
      </c>
      <c r="AP111">
        <v>115.203</v>
      </c>
      <c r="AQ111">
        <v>17.550589370940063</v>
      </c>
      <c r="AR111">
        <v>141.04339135410436</v>
      </c>
      <c r="AS111">
        <v>103.1</v>
      </c>
      <c r="AV111">
        <v>22027</v>
      </c>
      <c r="AW111">
        <v>593085475.933442</v>
      </c>
      <c r="AX111">
        <v>1217386449.1612599</v>
      </c>
      <c r="AZ111">
        <v>20221.103686109032</v>
      </c>
      <c r="BA111">
        <v>-1385206180.7224</v>
      </c>
      <c r="BB111">
        <v>17.310283019881481</v>
      </c>
    </row>
    <row r="112" spans="1:54" x14ac:dyDescent="0.25">
      <c r="A112">
        <v>110</v>
      </c>
      <c r="B112">
        <v>2022</v>
      </c>
      <c r="C112" t="s">
        <v>54</v>
      </c>
      <c r="D112" t="s">
        <v>275</v>
      </c>
      <c r="E112" t="s">
        <v>276</v>
      </c>
      <c r="F112">
        <v>5744489</v>
      </c>
      <c r="G112">
        <v>0.46005306303286397</v>
      </c>
      <c r="H112">
        <v>10450</v>
      </c>
      <c r="J112">
        <v>23737045115.442303</v>
      </c>
      <c r="K112">
        <v>4130</v>
      </c>
      <c r="L112">
        <v>67267845655.438614</v>
      </c>
      <c r="M112">
        <v>11710</v>
      </c>
      <c r="N112">
        <v>6.8</v>
      </c>
      <c r="O112">
        <v>78.003</v>
      </c>
      <c r="P112">
        <v>2.2629999999999999</v>
      </c>
      <c r="Q112">
        <v>21.109000000000002</v>
      </c>
      <c r="T112">
        <v>17.3</v>
      </c>
      <c r="V112">
        <v>67</v>
      </c>
      <c r="W112">
        <v>68.126669142745996</v>
      </c>
      <c r="X112">
        <v>64.501708432723305</v>
      </c>
      <c r="Z112">
        <v>0.1</v>
      </c>
      <c r="AA112">
        <v>1445.3</v>
      </c>
      <c r="AB112">
        <v>18.733109969192547</v>
      </c>
      <c r="AC112">
        <v>617.48299899341271</v>
      </c>
      <c r="AD112">
        <v>680.65236089754899</v>
      </c>
      <c r="AE112">
        <v>20992421948.808086</v>
      </c>
      <c r="AF112">
        <v>-0.62167897066311184</v>
      </c>
      <c r="AG112">
        <v>112.14947899881901</v>
      </c>
      <c r="AH112">
        <v>1.1895732629522009</v>
      </c>
      <c r="AI112">
        <v>2.3907620997539305</v>
      </c>
      <c r="AJ112">
        <v>34.828779246046899</v>
      </c>
      <c r="AK112">
        <v>80.059499019619579</v>
      </c>
      <c r="AL112">
        <v>1.2251714470648933</v>
      </c>
      <c r="AO112">
        <v>1.3950376434210301</v>
      </c>
      <c r="AP112">
        <v>74.014799999999994</v>
      </c>
      <c r="AQ112">
        <v>15.133219943969994</v>
      </c>
      <c r="AR112">
        <v>114.23169779302928</v>
      </c>
      <c r="AS112">
        <v>89</v>
      </c>
      <c r="AT112">
        <v>67100895977.599998</v>
      </c>
      <c r="AU112">
        <v>19.027624090369855</v>
      </c>
      <c r="AV112">
        <v>-27507</v>
      </c>
      <c r="AW112">
        <v>1736872523.6561699</v>
      </c>
      <c r="AX112">
        <v>526838753.90636498</v>
      </c>
      <c r="AY112">
        <v>248.49797718898583</v>
      </c>
      <c r="AZ112">
        <v>3654.3584553487849</v>
      </c>
      <c r="BA112">
        <v>-460686777.119609</v>
      </c>
      <c r="BB112">
        <v>171.2054913366413</v>
      </c>
    </row>
    <row r="113" spans="1:54" x14ac:dyDescent="0.25">
      <c r="A113">
        <v>111</v>
      </c>
      <c r="B113">
        <v>2022</v>
      </c>
      <c r="C113" t="s">
        <v>54</v>
      </c>
      <c r="D113" t="s">
        <v>277</v>
      </c>
      <c r="E113" t="s">
        <v>278</v>
      </c>
      <c r="F113">
        <v>2286110</v>
      </c>
      <c r="G113">
        <v>1.0804801692339101</v>
      </c>
      <c r="H113">
        <v>30360</v>
      </c>
      <c r="J113">
        <v>2911703582.3180461</v>
      </c>
      <c r="K113">
        <v>1270</v>
      </c>
      <c r="L113">
        <v>7579026644.1553669</v>
      </c>
      <c r="M113">
        <v>3320</v>
      </c>
      <c r="O113">
        <v>56.811999999999998</v>
      </c>
      <c r="P113">
        <v>2.7160000000000002</v>
      </c>
      <c r="Q113">
        <v>71.784999999999997</v>
      </c>
      <c r="T113">
        <v>61.5</v>
      </c>
      <c r="V113">
        <v>84</v>
      </c>
      <c r="W113">
        <v>70.575866699218807</v>
      </c>
      <c r="Z113">
        <v>18.899999999999999</v>
      </c>
      <c r="AA113">
        <v>345.2</v>
      </c>
      <c r="AB113">
        <v>50.498984357971842</v>
      </c>
      <c r="AE113">
        <v>2354980960.0269704</v>
      </c>
      <c r="AF113">
        <v>2.3877802018628387</v>
      </c>
      <c r="AG113">
        <v>5.5300549670619858</v>
      </c>
      <c r="AH113">
        <v>5.9508539373034166</v>
      </c>
      <c r="AI113">
        <v>30.488741463072593</v>
      </c>
      <c r="AJ113">
        <v>46.506382215372113</v>
      </c>
      <c r="AK113">
        <v>95.867598858856724</v>
      </c>
      <c r="AL113">
        <v>27.377008148332258</v>
      </c>
      <c r="AM113">
        <v>35.960082136113016</v>
      </c>
      <c r="AO113">
        <v>1.47290152655986</v>
      </c>
      <c r="AP113">
        <v>68.100099999999998</v>
      </c>
      <c r="AQ113">
        <v>9.2572626668724498E-2</v>
      </c>
      <c r="AR113">
        <v>116.77376788509177</v>
      </c>
      <c r="AS113">
        <v>78.7</v>
      </c>
      <c r="AT113">
        <v>1809413920</v>
      </c>
      <c r="AU113">
        <v>2.9060621253064598</v>
      </c>
      <c r="AV113">
        <v>-6023</v>
      </c>
      <c r="AW113">
        <v>3343278.1178044202</v>
      </c>
      <c r="AX113">
        <v>-7820069.1605404904</v>
      </c>
      <c r="AY113">
        <v>67.244503772579179</v>
      </c>
      <c r="AZ113">
        <v>1030.1258294775712</v>
      </c>
      <c r="BA113">
        <v>7820069.1605404904</v>
      </c>
      <c r="BB113">
        <v>8.2718038994302798</v>
      </c>
    </row>
    <row r="114" spans="1:54" x14ac:dyDescent="0.25">
      <c r="A114">
        <v>112</v>
      </c>
      <c r="B114">
        <v>2022</v>
      </c>
      <c r="C114" t="s">
        <v>54</v>
      </c>
      <c r="D114" t="s">
        <v>279</v>
      </c>
      <c r="E114" t="s">
        <v>280</v>
      </c>
      <c r="F114">
        <v>5373294</v>
      </c>
      <c r="G114">
        <v>2.1438817042526699</v>
      </c>
      <c r="H114">
        <v>111370</v>
      </c>
      <c r="J114">
        <v>3646932009.540627</v>
      </c>
      <c r="K114">
        <v>680</v>
      </c>
      <c r="L114">
        <v>8521384044.3894663</v>
      </c>
      <c r="M114">
        <v>1590</v>
      </c>
      <c r="O114">
        <v>61.933999999999997</v>
      </c>
      <c r="P114">
        <v>4.016</v>
      </c>
      <c r="Q114">
        <v>127.33199999999999</v>
      </c>
      <c r="T114">
        <v>75.099999999999994</v>
      </c>
      <c r="V114">
        <v>79</v>
      </c>
      <c r="W114">
        <v>57.845735000800701</v>
      </c>
      <c r="Z114">
        <v>1</v>
      </c>
      <c r="AA114">
        <v>75569.2</v>
      </c>
      <c r="AB114">
        <v>23.496843224089393</v>
      </c>
      <c r="AE114">
        <v>4001047000</v>
      </c>
      <c r="AF114">
        <v>4.8081051729065507</v>
      </c>
      <c r="AG114">
        <v>8.6662085408153473</v>
      </c>
      <c r="AH114">
        <v>36.2030463526172</v>
      </c>
      <c r="AI114">
        <v>20.688547272751357</v>
      </c>
      <c r="AO114">
        <v>1.3134876698540501</v>
      </c>
      <c r="AP114">
        <v>32.063899999999997</v>
      </c>
      <c r="AQ114">
        <v>10.267997840320069</v>
      </c>
      <c r="AR114">
        <v>68.657029022653319</v>
      </c>
      <c r="AS114">
        <v>113.9</v>
      </c>
      <c r="AT114">
        <v>1921937046.9000001</v>
      </c>
      <c r="AU114">
        <v>2.237631224028918</v>
      </c>
      <c r="AV114">
        <v>-5003</v>
      </c>
      <c r="AW114">
        <v>127286357.56460001</v>
      </c>
      <c r="AX114">
        <v>960192468.67283106</v>
      </c>
      <c r="AY114">
        <v>90.352686197862795</v>
      </c>
      <c r="AZ114">
        <v>744.61717523738696</v>
      </c>
      <c r="BA114">
        <v>-960192468.67283094</v>
      </c>
      <c r="BB114">
        <v>7.5929848656031336</v>
      </c>
    </row>
    <row r="115" spans="1:54" x14ac:dyDescent="0.25">
      <c r="A115">
        <v>113</v>
      </c>
      <c r="B115">
        <v>2022</v>
      </c>
      <c r="C115" t="s">
        <v>54</v>
      </c>
      <c r="D115" t="s">
        <v>281</v>
      </c>
      <c r="E115" t="s">
        <v>282</v>
      </c>
      <c r="F115">
        <v>7223805</v>
      </c>
      <c r="G115">
        <v>1.23450447871795</v>
      </c>
      <c r="H115">
        <v>1759540</v>
      </c>
      <c r="J115">
        <v>43429068663.610069</v>
      </c>
      <c r="K115">
        <v>6010</v>
      </c>
      <c r="L115">
        <v>88865851941.582611</v>
      </c>
      <c r="M115">
        <v>12300</v>
      </c>
      <c r="O115">
        <v>74.462000000000003</v>
      </c>
      <c r="P115">
        <v>2.4020000000000001</v>
      </c>
      <c r="Q115">
        <v>6.0789999999999997</v>
      </c>
      <c r="T115">
        <v>10.5</v>
      </c>
      <c r="U115">
        <v>4.3</v>
      </c>
      <c r="V115">
        <v>73</v>
      </c>
      <c r="Z115">
        <v>0.1</v>
      </c>
      <c r="AA115">
        <v>2170</v>
      </c>
      <c r="AB115">
        <v>8.8437077747901682</v>
      </c>
      <c r="AC115">
        <v>2539.1981383622342</v>
      </c>
      <c r="AD115">
        <v>3979.0664338253869</v>
      </c>
      <c r="AE115">
        <v>43246297921.849922</v>
      </c>
      <c r="AF115">
        <v>-8.2998181119879462</v>
      </c>
      <c r="AG115">
        <v>42.77208874269229</v>
      </c>
      <c r="AH115">
        <v>1.6864376993735348</v>
      </c>
      <c r="AI115">
        <v>76.838079864714246</v>
      </c>
      <c r="AJ115">
        <v>91.980923507821217</v>
      </c>
      <c r="AK115">
        <v>64.340761174526293</v>
      </c>
      <c r="AL115">
        <v>10.52019701948576</v>
      </c>
      <c r="AO115">
        <v>4.3466604644166598</v>
      </c>
      <c r="AP115">
        <v>192.97300000000001</v>
      </c>
      <c r="AR115">
        <v>127.92540092096161</v>
      </c>
      <c r="AS115">
        <v>146.19999999999999</v>
      </c>
      <c r="AV115">
        <v>-2001</v>
      </c>
      <c r="AW115">
        <v>2519400000</v>
      </c>
      <c r="AX115">
        <v>702000000</v>
      </c>
      <c r="AY115">
        <v>36.675092395256101</v>
      </c>
      <c r="AZ115">
        <v>5986.6369485125806</v>
      </c>
      <c r="BA115">
        <v>-641300000</v>
      </c>
      <c r="BB115">
        <v>4.5103014923570317</v>
      </c>
    </row>
    <row r="116" spans="1:54" x14ac:dyDescent="0.25">
      <c r="A116">
        <v>114</v>
      </c>
      <c r="B116">
        <v>2022</v>
      </c>
      <c r="C116" t="s">
        <v>54</v>
      </c>
      <c r="D116" t="s">
        <v>283</v>
      </c>
      <c r="E116" t="s">
        <v>284</v>
      </c>
      <c r="F116">
        <v>39493</v>
      </c>
      <c r="G116">
        <v>0.79059833468951701</v>
      </c>
      <c r="H116">
        <v>160</v>
      </c>
      <c r="O116">
        <v>84.121951219512198</v>
      </c>
      <c r="P116">
        <v>1.47</v>
      </c>
      <c r="Q116">
        <v>1.631</v>
      </c>
      <c r="AA116">
        <v>67</v>
      </c>
      <c r="AE116">
        <v>7426856242.7735977</v>
      </c>
      <c r="AH116">
        <v>0.16921905406548776</v>
      </c>
      <c r="AI116">
        <v>39.353301181713064</v>
      </c>
      <c r="AP116">
        <v>126.307</v>
      </c>
      <c r="AV116">
        <v>212</v>
      </c>
      <c r="AZ116">
        <v>188055.00323534798</v>
      </c>
    </row>
    <row r="117" spans="1:54" x14ac:dyDescent="0.25">
      <c r="A117">
        <v>115</v>
      </c>
      <c r="B117">
        <v>2022</v>
      </c>
      <c r="C117" t="s">
        <v>54</v>
      </c>
      <c r="D117" t="s">
        <v>285</v>
      </c>
      <c r="E117" t="s">
        <v>286</v>
      </c>
      <c r="F117">
        <v>2831639</v>
      </c>
      <c r="G117">
        <v>0.82478913119128405</v>
      </c>
      <c r="H117">
        <v>65286</v>
      </c>
      <c r="J117">
        <v>67277164900.76667</v>
      </c>
      <c r="K117">
        <v>23760</v>
      </c>
      <c r="L117">
        <v>137360629500.63446</v>
      </c>
      <c r="M117">
        <v>48510</v>
      </c>
      <c r="N117">
        <v>6.8</v>
      </c>
      <c r="O117">
        <v>75.643902439024387</v>
      </c>
      <c r="P117">
        <v>1.27</v>
      </c>
      <c r="Q117">
        <v>6.23</v>
      </c>
      <c r="T117">
        <v>3.5</v>
      </c>
      <c r="V117">
        <v>87</v>
      </c>
      <c r="W117">
        <v>100.60552978515599</v>
      </c>
      <c r="X117">
        <v>106.91835784912099</v>
      </c>
      <c r="Z117">
        <v>0.2</v>
      </c>
      <c r="AA117">
        <v>22038.888999999999</v>
      </c>
      <c r="AB117">
        <v>178.03345947186892</v>
      </c>
      <c r="AC117">
        <v>2453.9399326025919</v>
      </c>
      <c r="AD117">
        <v>4416.1702815930985</v>
      </c>
      <c r="AE117">
        <v>71033884499.782379</v>
      </c>
      <c r="AF117">
        <v>2.5375257401153419</v>
      </c>
      <c r="AG117">
        <v>16.066542820715668</v>
      </c>
      <c r="AH117">
        <v>3.9279382912553973</v>
      </c>
      <c r="AI117">
        <v>25.639869588622204</v>
      </c>
      <c r="AJ117">
        <v>86.779849294343293</v>
      </c>
      <c r="AK117">
        <v>88.871762856749442</v>
      </c>
      <c r="AL117">
        <v>28.075306101222573</v>
      </c>
      <c r="AM117">
        <v>33.133861476366093</v>
      </c>
      <c r="AO117">
        <v>2.4445758787722203</v>
      </c>
      <c r="AP117">
        <v>135.834</v>
      </c>
      <c r="AQ117">
        <v>12.996394133363451</v>
      </c>
      <c r="AR117">
        <v>143.0021752510398</v>
      </c>
      <c r="AS117">
        <v>97.7</v>
      </c>
      <c r="AV117">
        <v>72100</v>
      </c>
      <c r="AW117">
        <v>568093735.27502799</v>
      </c>
      <c r="AX117">
        <v>2419329634.05406</v>
      </c>
      <c r="AZ117">
        <v>25085.784063499046</v>
      </c>
      <c r="BA117">
        <v>-3222401216.9754901</v>
      </c>
      <c r="BB117">
        <v>19.70504615183939</v>
      </c>
    </row>
    <row r="118" spans="1:54" x14ac:dyDescent="0.25">
      <c r="A118">
        <v>116</v>
      </c>
      <c r="B118">
        <v>2022</v>
      </c>
      <c r="C118" t="s">
        <v>54</v>
      </c>
      <c r="D118" t="s">
        <v>287</v>
      </c>
      <c r="E118" t="s">
        <v>288</v>
      </c>
      <c r="F118">
        <v>653103</v>
      </c>
      <c r="G118">
        <v>2.0166679021272902</v>
      </c>
      <c r="H118">
        <v>2590</v>
      </c>
      <c r="J118">
        <v>54987734180.839958</v>
      </c>
      <c r="K118">
        <v>84190</v>
      </c>
      <c r="L118">
        <v>60593238955.333046</v>
      </c>
      <c r="M118">
        <v>92780</v>
      </c>
      <c r="N118">
        <v>7.1</v>
      </c>
      <c r="O118">
        <v>82.946341463414655</v>
      </c>
      <c r="P118">
        <v>1.31</v>
      </c>
      <c r="Q118">
        <v>3.98</v>
      </c>
      <c r="T118">
        <v>2.4</v>
      </c>
      <c r="V118">
        <v>99</v>
      </c>
      <c r="W118">
        <v>77.836517333984403</v>
      </c>
      <c r="X118">
        <v>107.83975982666</v>
      </c>
      <c r="Z118">
        <v>0.2</v>
      </c>
      <c r="AA118">
        <v>887</v>
      </c>
      <c r="AB118">
        <v>1470.1956909348899</v>
      </c>
      <c r="AC118">
        <v>4862.9474083335244</v>
      </c>
      <c r="AD118">
        <v>11661.254044155363</v>
      </c>
      <c r="AE118">
        <v>80801680397.013931</v>
      </c>
      <c r="AF118">
        <v>-1.0974168968152043</v>
      </c>
      <c r="AG118">
        <v>6.2200598562727691</v>
      </c>
      <c r="AH118">
        <v>0.24216747829875451</v>
      </c>
      <c r="AI118">
        <v>9.1138004562551131</v>
      </c>
      <c r="AJ118">
        <v>222.30845616310287</v>
      </c>
      <c r="AK118">
        <v>189.86871376107203</v>
      </c>
      <c r="AL118">
        <v>17.033176663024733</v>
      </c>
      <c r="AM118">
        <v>41.955224338679983</v>
      </c>
      <c r="AN118">
        <v>62.989853366813051</v>
      </c>
      <c r="AO118">
        <v>0.62532577526000199</v>
      </c>
      <c r="AP118">
        <v>139.65100000000001</v>
      </c>
      <c r="AQ118">
        <v>5.9904603893657962</v>
      </c>
      <c r="AR118">
        <v>54.945639474152216</v>
      </c>
      <c r="AS118">
        <v>97.2</v>
      </c>
      <c r="AV118">
        <v>13194</v>
      </c>
      <c r="AW118">
        <v>16075437004.1152</v>
      </c>
      <c r="AX118">
        <v>-316383115840</v>
      </c>
      <c r="AZ118">
        <v>123719.6589159963</v>
      </c>
      <c r="BA118">
        <v>64558143939.296303</v>
      </c>
      <c r="BB118">
        <v>6.336008077779189</v>
      </c>
    </row>
    <row r="119" spans="1:54" x14ac:dyDescent="0.25">
      <c r="A119">
        <v>117</v>
      </c>
      <c r="B119">
        <v>2022</v>
      </c>
      <c r="C119" t="s">
        <v>54</v>
      </c>
      <c r="D119" t="s">
        <v>289</v>
      </c>
      <c r="E119" t="s">
        <v>290</v>
      </c>
      <c r="F119">
        <v>677300</v>
      </c>
      <c r="G119">
        <v>-0.76482208382568495</v>
      </c>
      <c r="H119">
        <v>33</v>
      </c>
      <c r="J119">
        <v>30745289252.119133</v>
      </c>
      <c r="K119">
        <v>45390</v>
      </c>
      <c r="L119">
        <v>51267843580.751129</v>
      </c>
      <c r="M119">
        <v>75690</v>
      </c>
      <c r="O119">
        <v>83.080487804878061</v>
      </c>
      <c r="P119">
        <v>0.68</v>
      </c>
      <c r="Q119">
        <v>0.47299999999999998</v>
      </c>
      <c r="W119">
        <v>91.2068965517241</v>
      </c>
      <c r="X119">
        <v>90.221183800623095</v>
      </c>
      <c r="AE119">
        <v>24929307447.323727</v>
      </c>
      <c r="AF119">
        <v>-18.956941494497002</v>
      </c>
      <c r="AG119">
        <v>1.1618533399199862</v>
      </c>
      <c r="AI119">
        <v>9.2778275141748736</v>
      </c>
      <c r="AJ119">
        <v>84.791604496170294</v>
      </c>
      <c r="AK119">
        <v>85.576444842335619</v>
      </c>
      <c r="AL119">
        <v>23.205013428827215</v>
      </c>
      <c r="AM119">
        <v>20.596461404555853</v>
      </c>
      <c r="AP119">
        <v>172.245</v>
      </c>
      <c r="AQ119">
        <v>0</v>
      </c>
      <c r="AR119">
        <v>76.275684914950759</v>
      </c>
      <c r="AS119">
        <v>94</v>
      </c>
      <c r="AV119">
        <v>8748</v>
      </c>
      <c r="AW119">
        <v>2088963136.7679501</v>
      </c>
      <c r="AX119">
        <v>3196325132.7901001</v>
      </c>
      <c r="AZ119">
        <v>36806.891255460985</v>
      </c>
      <c r="BA119">
        <v>-2344717624.5227799</v>
      </c>
      <c r="BB119">
        <v>1.0450280236995351</v>
      </c>
    </row>
    <row r="120" spans="1:54" x14ac:dyDescent="0.25">
      <c r="A120">
        <v>118</v>
      </c>
      <c r="B120">
        <v>2022</v>
      </c>
      <c r="C120" t="s">
        <v>54</v>
      </c>
      <c r="D120" t="s">
        <v>291</v>
      </c>
      <c r="E120" t="s">
        <v>292</v>
      </c>
      <c r="F120">
        <v>30437261</v>
      </c>
      <c r="G120">
        <v>2.4820783617262498</v>
      </c>
      <c r="H120">
        <v>587295</v>
      </c>
      <c r="J120">
        <v>15133024385.651176</v>
      </c>
      <c r="K120">
        <v>500</v>
      </c>
      <c r="L120">
        <v>51000576605.049782</v>
      </c>
      <c r="M120">
        <v>1680</v>
      </c>
      <c r="O120">
        <v>63.067999999999998</v>
      </c>
      <c r="P120">
        <v>4.0359999999999996</v>
      </c>
      <c r="Q120">
        <v>131.566</v>
      </c>
      <c r="T120">
        <v>65.7</v>
      </c>
      <c r="V120">
        <v>44</v>
      </c>
      <c r="W120">
        <v>57.4016455229267</v>
      </c>
      <c r="Z120">
        <v>0.4</v>
      </c>
      <c r="AA120">
        <v>124033.789</v>
      </c>
      <c r="AB120">
        <v>0.99180635039388731</v>
      </c>
      <c r="AC120">
        <v>308.67253960140141</v>
      </c>
      <c r="AD120">
        <v>81.314806874376771</v>
      </c>
      <c r="AE120">
        <v>15325603272.609709</v>
      </c>
      <c r="AF120">
        <v>4.1560977838629611</v>
      </c>
      <c r="AG120">
        <v>9.6260573370636706</v>
      </c>
      <c r="AH120">
        <v>21.544235787839291</v>
      </c>
      <c r="AI120">
        <v>23.356816154365386</v>
      </c>
      <c r="AJ120">
        <v>30.543294874647913</v>
      </c>
      <c r="AK120">
        <v>40.003839538448197</v>
      </c>
      <c r="AL120">
        <v>22.161976768828069</v>
      </c>
      <c r="AM120">
        <v>10.192003667976097</v>
      </c>
      <c r="AO120">
        <v>0.65315121122159103</v>
      </c>
      <c r="AP120">
        <v>64.749499999999998</v>
      </c>
      <c r="AQ120">
        <v>0.34862498459425972</v>
      </c>
      <c r="AR120">
        <v>59.88671269080249</v>
      </c>
      <c r="AS120">
        <v>85.3</v>
      </c>
      <c r="AT120">
        <v>5935380471</v>
      </c>
      <c r="AU120">
        <v>1.4439197621904967</v>
      </c>
      <c r="AV120">
        <v>-1487</v>
      </c>
      <c r="AW120">
        <v>99975405.241376206</v>
      </c>
      <c r="AX120">
        <v>467848664.235502</v>
      </c>
      <c r="AY120">
        <v>33.001067250038361</v>
      </c>
      <c r="AZ120">
        <v>503.51453347295961</v>
      </c>
      <c r="BA120">
        <v>-325831200.59256399</v>
      </c>
      <c r="BB120">
        <v>8.1605903199184393</v>
      </c>
    </row>
    <row r="121" spans="1:54" x14ac:dyDescent="0.25">
      <c r="A121">
        <v>119</v>
      </c>
      <c r="B121">
        <v>2022</v>
      </c>
      <c r="C121" t="s">
        <v>54</v>
      </c>
      <c r="D121" t="s">
        <v>293</v>
      </c>
      <c r="E121" t="s">
        <v>294</v>
      </c>
      <c r="F121">
        <v>20568728</v>
      </c>
      <c r="G121">
        <v>2.567947782963</v>
      </c>
      <c r="H121">
        <v>118480</v>
      </c>
      <c r="J121">
        <v>12617555248.353939</v>
      </c>
      <c r="K121">
        <v>610</v>
      </c>
      <c r="L121">
        <v>35475438504.676102</v>
      </c>
      <c r="M121">
        <v>1720</v>
      </c>
      <c r="O121">
        <v>66.037000000000006</v>
      </c>
      <c r="P121">
        <v>3.72</v>
      </c>
      <c r="Q121">
        <v>115.047</v>
      </c>
      <c r="T121">
        <v>39.9</v>
      </c>
      <c r="V121">
        <v>82</v>
      </c>
      <c r="X121">
        <v>35.508489992561699</v>
      </c>
      <c r="Z121">
        <v>7</v>
      </c>
      <c r="AA121">
        <v>21577</v>
      </c>
      <c r="AB121">
        <v>8.499089363686597</v>
      </c>
      <c r="AE121">
        <v>12429059928.101988</v>
      </c>
      <c r="AF121">
        <v>0.92111506900593554</v>
      </c>
      <c r="AG121">
        <v>17.166830393095495</v>
      </c>
      <c r="AH121">
        <v>27.597551876220145</v>
      </c>
      <c r="AI121">
        <v>16.90734353839952</v>
      </c>
      <c r="AJ121">
        <v>11.342380846456965</v>
      </c>
      <c r="AK121">
        <v>32.274244010324068</v>
      </c>
      <c r="AL121">
        <v>15.932796903850296</v>
      </c>
      <c r="AM121">
        <v>14.136184681217456</v>
      </c>
      <c r="AO121">
        <v>0.93323495254145505</v>
      </c>
      <c r="AP121">
        <v>59.6496</v>
      </c>
      <c r="AQ121">
        <v>2.3076953930761377</v>
      </c>
      <c r="AR121">
        <v>20.001512699920106</v>
      </c>
      <c r="AS121">
        <v>77.900000000000006</v>
      </c>
      <c r="AT121">
        <v>3340066801.6999998</v>
      </c>
      <c r="AU121">
        <v>1.1439006014452591</v>
      </c>
      <c r="AV121">
        <v>-5231</v>
      </c>
      <c r="AW121">
        <v>192977567.36736399</v>
      </c>
      <c r="AX121">
        <v>198726519.112982</v>
      </c>
      <c r="AY121">
        <v>66.672530290886243</v>
      </c>
      <c r="AZ121">
        <v>604.26974036031731</v>
      </c>
      <c r="BA121">
        <v>-140005928.30707198</v>
      </c>
      <c r="BB121">
        <v>20.953969729969039</v>
      </c>
    </row>
    <row r="122" spans="1:54" x14ac:dyDescent="0.25">
      <c r="A122">
        <v>120</v>
      </c>
      <c r="B122">
        <v>2022</v>
      </c>
      <c r="C122" t="s">
        <v>54</v>
      </c>
      <c r="D122" t="s">
        <v>295</v>
      </c>
      <c r="E122" t="s">
        <v>296</v>
      </c>
      <c r="F122">
        <v>34695493</v>
      </c>
      <c r="G122">
        <v>1.1977720012836</v>
      </c>
      <c r="H122">
        <v>330411</v>
      </c>
      <c r="J122">
        <v>403266944656.57227</v>
      </c>
      <c r="K122">
        <v>11620</v>
      </c>
      <c r="L122">
        <v>1156328047177.0437</v>
      </c>
      <c r="M122">
        <v>33330</v>
      </c>
      <c r="O122">
        <v>75.444000000000003</v>
      </c>
      <c r="P122">
        <v>1.55</v>
      </c>
      <c r="Q122">
        <v>5.9749999999999996</v>
      </c>
      <c r="R122">
        <v>42.8</v>
      </c>
      <c r="T122">
        <v>8.1</v>
      </c>
      <c r="U122">
        <v>15.3</v>
      </c>
      <c r="V122">
        <v>96</v>
      </c>
      <c r="W122">
        <v>84.499636010238703</v>
      </c>
      <c r="X122">
        <v>78.834198628299902</v>
      </c>
      <c r="Z122">
        <v>0.3</v>
      </c>
      <c r="AA122">
        <v>190137.4</v>
      </c>
      <c r="AB122">
        <v>57.894715226590421</v>
      </c>
      <c r="AC122">
        <v>2867.0965193917291</v>
      </c>
      <c r="AD122">
        <v>4986.1231255598532</v>
      </c>
      <c r="AE122">
        <v>407830525989.55347</v>
      </c>
      <c r="AF122">
        <v>9.0317372304445058</v>
      </c>
      <c r="AG122">
        <v>6.2962995033379912</v>
      </c>
      <c r="AH122">
        <v>8.9618492274141737</v>
      </c>
      <c r="AI122">
        <v>38.974240550053025</v>
      </c>
      <c r="AJ122">
        <v>76.807797482584391</v>
      </c>
      <c r="AK122">
        <v>69.616807271323125</v>
      </c>
      <c r="AL122">
        <v>23.586292162217521</v>
      </c>
      <c r="AM122">
        <v>16.399628113794005</v>
      </c>
      <c r="AN122">
        <v>93.471953595196197</v>
      </c>
      <c r="AO122">
        <v>0.90202540517082108</v>
      </c>
      <c r="AP122">
        <v>138.208</v>
      </c>
      <c r="AQ122">
        <v>58.28182440314864</v>
      </c>
      <c r="AR122">
        <v>158.37240197575215</v>
      </c>
      <c r="AS122">
        <v>111.9</v>
      </c>
      <c r="AV122">
        <v>188154</v>
      </c>
      <c r="AW122">
        <v>9090485161.6523399</v>
      </c>
      <c r="AX122">
        <v>15027992710.614401</v>
      </c>
      <c r="AY122">
        <v>0.17121073506536857</v>
      </c>
      <c r="AZ122">
        <v>11754.567833624773</v>
      </c>
      <c r="BA122">
        <v>-3216658618.6988502</v>
      </c>
      <c r="BB122">
        <v>3.3786986254992848</v>
      </c>
    </row>
    <row r="123" spans="1:54" x14ac:dyDescent="0.25">
      <c r="A123">
        <v>121</v>
      </c>
      <c r="B123">
        <v>2022</v>
      </c>
      <c r="C123" t="s">
        <v>54</v>
      </c>
      <c r="D123" t="s">
        <v>297</v>
      </c>
      <c r="E123" t="s">
        <v>298</v>
      </c>
      <c r="F123">
        <v>524106</v>
      </c>
      <c r="G123">
        <v>1.528878337276</v>
      </c>
      <c r="H123">
        <v>300</v>
      </c>
      <c r="J123">
        <v>5541168632.139102</v>
      </c>
      <c r="K123">
        <v>10570</v>
      </c>
      <c r="L123">
        <v>10612513545.056211</v>
      </c>
      <c r="M123">
        <v>20250</v>
      </c>
      <c r="O123">
        <v>80.760000000000005</v>
      </c>
      <c r="P123">
        <v>1.583</v>
      </c>
      <c r="Q123">
        <v>5.6479999999999997</v>
      </c>
      <c r="T123">
        <v>6</v>
      </c>
      <c r="V123">
        <v>98</v>
      </c>
      <c r="W123">
        <v>92.823146292585207</v>
      </c>
      <c r="X123">
        <v>73.523457664861596</v>
      </c>
      <c r="Z123">
        <v>0.1</v>
      </c>
      <c r="AA123">
        <v>8.1999999999999993</v>
      </c>
      <c r="AB123">
        <v>1219.9399393722847</v>
      </c>
      <c r="AE123">
        <v>6177123352.2621107</v>
      </c>
      <c r="AF123">
        <v>13.826089518413937</v>
      </c>
      <c r="AG123">
        <v>3.4130139303707949</v>
      </c>
      <c r="AH123">
        <v>5.0618247877732871</v>
      </c>
      <c r="AI123">
        <v>9.9186172766927818</v>
      </c>
      <c r="AJ123">
        <v>82.670855560303451</v>
      </c>
      <c r="AK123">
        <v>79.572577373352232</v>
      </c>
      <c r="AL123">
        <v>32.989796317769652</v>
      </c>
      <c r="AP123">
        <v>136.459</v>
      </c>
      <c r="AQ123">
        <v>4.0964147313022332</v>
      </c>
      <c r="AR123">
        <v>63.395204801372962</v>
      </c>
      <c r="AS123">
        <v>101.7</v>
      </c>
      <c r="AT123">
        <v>3992801782.9000001</v>
      </c>
      <c r="AU123">
        <v>12.707091064094078</v>
      </c>
      <c r="AV123">
        <v>-2674</v>
      </c>
      <c r="AW123">
        <v>565036074.84849799</v>
      </c>
      <c r="AX123">
        <v>731709063.61355197</v>
      </c>
      <c r="AY123">
        <v>229.51890710681619</v>
      </c>
      <c r="AZ123">
        <v>11786.019149298254</v>
      </c>
      <c r="BA123">
        <v>-731709063.61355197</v>
      </c>
      <c r="BB123">
        <v>2.3331433762456748</v>
      </c>
    </row>
    <row r="124" spans="1:54" x14ac:dyDescent="0.25">
      <c r="A124">
        <v>122</v>
      </c>
      <c r="B124">
        <v>2022</v>
      </c>
      <c r="C124" t="s">
        <v>54</v>
      </c>
      <c r="D124" t="s">
        <v>299</v>
      </c>
      <c r="E124" t="s">
        <v>300</v>
      </c>
      <c r="F124">
        <v>23072640</v>
      </c>
      <c r="G124">
        <v>3.0094259260623901</v>
      </c>
      <c r="H124">
        <v>1240190</v>
      </c>
      <c r="I124">
        <v>45.5</v>
      </c>
      <c r="J124">
        <v>23025624900.093224</v>
      </c>
      <c r="K124">
        <v>1000</v>
      </c>
      <c r="L124">
        <v>67136167712.099174</v>
      </c>
      <c r="M124">
        <v>2910</v>
      </c>
      <c r="O124">
        <v>60.034999999999997</v>
      </c>
      <c r="P124">
        <v>5.6920000000000002</v>
      </c>
      <c r="Q124">
        <v>140.02000000000001</v>
      </c>
      <c r="T124">
        <v>94</v>
      </c>
      <c r="U124">
        <v>18.5</v>
      </c>
      <c r="V124">
        <v>69</v>
      </c>
      <c r="Z124">
        <v>0.8</v>
      </c>
      <c r="AA124">
        <v>132960</v>
      </c>
      <c r="AB124">
        <v>3.9054329086062114</v>
      </c>
      <c r="AE124">
        <v>22539987718.764156</v>
      </c>
      <c r="AF124">
        <v>3.7031902759556772</v>
      </c>
      <c r="AG124">
        <v>6.3015780029818131</v>
      </c>
      <c r="AH124">
        <v>32.717672901865328</v>
      </c>
      <c r="AI124">
        <v>25.822978795317287</v>
      </c>
      <c r="AJ124">
        <v>26.025652624666989</v>
      </c>
      <c r="AK124">
        <v>35.535674861531703</v>
      </c>
      <c r="AL124">
        <v>22.181962477282323</v>
      </c>
      <c r="AO124">
        <v>3.09091717190995</v>
      </c>
      <c r="AP124">
        <v>112.12</v>
      </c>
      <c r="AQ124">
        <v>10.25786682849866</v>
      </c>
      <c r="AR124">
        <v>55.532417125408685</v>
      </c>
      <c r="AS124">
        <v>103.4</v>
      </c>
      <c r="AT124">
        <v>6233839496.8000002</v>
      </c>
      <c r="AU124">
        <v>1.4243778470020443</v>
      </c>
      <c r="AV124">
        <v>-39951</v>
      </c>
      <c r="AW124">
        <v>230661903.59817201</v>
      </c>
      <c r="AX124">
        <v>715469994.85230696</v>
      </c>
      <c r="AY124">
        <v>52.059015180561481</v>
      </c>
      <c r="AZ124">
        <v>976.91411640645185</v>
      </c>
      <c r="BA124">
        <v>-671836204.53170502</v>
      </c>
      <c r="BB124">
        <v>9.621476084890638</v>
      </c>
    </row>
    <row r="125" spans="1:54" x14ac:dyDescent="0.25">
      <c r="A125">
        <v>123</v>
      </c>
      <c r="B125">
        <v>2022</v>
      </c>
      <c r="C125" t="s">
        <v>54</v>
      </c>
      <c r="D125" t="s">
        <v>301</v>
      </c>
      <c r="E125" t="s">
        <v>302</v>
      </c>
      <c r="F125">
        <v>531113</v>
      </c>
      <c r="G125">
        <v>2.4710028998087501</v>
      </c>
      <c r="H125">
        <v>320</v>
      </c>
      <c r="J125">
        <v>18501942155.261513</v>
      </c>
      <c r="K125">
        <v>34840</v>
      </c>
      <c r="L125">
        <v>28858746311.837421</v>
      </c>
      <c r="M125">
        <v>54340</v>
      </c>
      <c r="N125">
        <v>7.3</v>
      </c>
      <c r="O125">
        <v>82.448780487804896</v>
      </c>
      <c r="P125">
        <v>1.08</v>
      </c>
      <c r="Q125">
        <v>10.494999999999999</v>
      </c>
      <c r="T125">
        <v>5.7</v>
      </c>
      <c r="U125">
        <v>0.7</v>
      </c>
      <c r="V125">
        <v>96</v>
      </c>
      <c r="W125">
        <v>95.524879455566406</v>
      </c>
      <c r="X125">
        <v>102.695037841797</v>
      </c>
      <c r="Z125">
        <v>0.3</v>
      </c>
      <c r="AA125">
        <v>4.5999999999999996</v>
      </c>
      <c r="AB125">
        <v>455.31485072372703</v>
      </c>
      <c r="AC125">
        <v>1456.2452481094795</v>
      </c>
      <c r="AD125">
        <v>5174.040176007742</v>
      </c>
      <c r="AE125">
        <v>18928276162.413124</v>
      </c>
      <c r="AF125">
        <v>2.4830999383779186</v>
      </c>
      <c r="AG125">
        <v>5.0885864711204505</v>
      </c>
      <c r="AH125">
        <v>0.83934591712542095</v>
      </c>
      <c r="AI125">
        <v>11.298685956147732</v>
      </c>
      <c r="AJ125">
        <v>128.46009061112241</v>
      </c>
      <c r="AK125">
        <v>116.70028448088208</v>
      </c>
      <c r="AL125">
        <v>26.3781498400487</v>
      </c>
      <c r="AM125">
        <v>32.498930556207853</v>
      </c>
      <c r="AN125">
        <v>23.028932812465282</v>
      </c>
      <c r="AO125">
        <v>0.411834981751042</v>
      </c>
      <c r="AP125">
        <v>132.86099999999999</v>
      </c>
      <c r="AQ125">
        <v>38.961585188618677</v>
      </c>
      <c r="AR125">
        <v>62.192668254578201</v>
      </c>
      <c r="AS125">
        <v>99.5</v>
      </c>
      <c r="AV125">
        <v>2480</v>
      </c>
      <c r="AW125">
        <v>168680792.31994101</v>
      </c>
      <c r="AX125">
        <v>24257553510.797401</v>
      </c>
      <c r="AZ125">
        <v>35638.886945740596</v>
      </c>
      <c r="BA125">
        <v>-1489043435.42115</v>
      </c>
      <c r="BB125">
        <v>6.1537562193303694</v>
      </c>
    </row>
    <row r="126" spans="1:54" x14ac:dyDescent="0.25">
      <c r="A126">
        <v>124</v>
      </c>
      <c r="B126">
        <v>2022</v>
      </c>
      <c r="C126" t="s">
        <v>54</v>
      </c>
      <c r="D126" t="s">
        <v>303</v>
      </c>
      <c r="E126" t="s">
        <v>304</v>
      </c>
      <c r="F126">
        <v>40077</v>
      </c>
      <c r="G126">
        <v>-3.1680857851929098</v>
      </c>
      <c r="H126">
        <v>180</v>
      </c>
      <c r="J126">
        <v>303944452.50747347</v>
      </c>
      <c r="K126">
        <v>7580</v>
      </c>
      <c r="L126">
        <v>340308929.13401026</v>
      </c>
      <c r="M126">
        <v>8490</v>
      </c>
      <c r="O126">
        <v>66.724999999999994</v>
      </c>
      <c r="P126">
        <v>2.9359999999999999</v>
      </c>
      <c r="Q126">
        <v>71.135000000000005</v>
      </c>
      <c r="T126">
        <v>29.1</v>
      </c>
      <c r="V126">
        <v>81</v>
      </c>
      <c r="W126">
        <v>98.711601143889396</v>
      </c>
      <c r="X126">
        <v>83.110671781609696</v>
      </c>
      <c r="AA126">
        <v>94</v>
      </c>
      <c r="AE126">
        <v>258723510.74218801</v>
      </c>
      <c r="AF126">
        <v>-0.70056392657677691</v>
      </c>
      <c r="AG126">
        <v>-0.26669263825075973</v>
      </c>
      <c r="AH126">
        <v>20.580402102442886</v>
      </c>
      <c r="AI126">
        <v>9.5906534609237948</v>
      </c>
      <c r="AJ126">
        <v>39.977841674990131</v>
      </c>
      <c r="AK126">
        <v>88.360133852301132</v>
      </c>
      <c r="AL126">
        <v>26.439423792135035</v>
      </c>
      <c r="AP126">
        <v>39.706099999999999</v>
      </c>
      <c r="AR126">
        <v>73.437469774183214</v>
      </c>
      <c r="AS126">
        <v>94.3</v>
      </c>
      <c r="AV126">
        <v>-1829</v>
      </c>
      <c r="AX126">
        <v>2573910</v>
      </c>
      <c r="AY126">
        <v>3500.4355811839464</v>
      </c>
      <c r="AZ126">
        <v>6455.6606218576244</v>
      </c>
    </row>
    <row r="127" spans="1:54" x14ac:dyDescent="0.25">
      <c r="A127">
        <v>125</v>
      </c>
      <c r="B127">
        <v>2022</v>
      </c>
      <c r="C127" t="s">
        <v>54</v>
      </c>
      <c r="D127" t="s">
        <v>305</v>
      </c>
      <c r="E127" t="s">
        <v>306</v>
      </c>
      <c r="F127">
        <v>4875637</v>
      </c>
      <c r="G127">
        <v>2.9295646644820801</v>
      </c>
      <c r="H127">
        <v>1030700</v>
      </c>
      <c r="J127">
        <v>9790514662.7483406</v>
      </c>
      <c r="K127">
        <v>2010</v>
      </c>
      <c r="L127">
        <v>31427917557.109634</v>
      </c>
      <c r="M127">
        <v>6450</v>
      </c>
      <c r="O127">
        <v>68.281000000000006</v>
      </c>
      <c r="P127">
        <v>4.7699999999999996</v>
      </c>
      <c r="Q127">
        <v>90.245999999999995</v>
      </c>
      <c r="T127">
        <v>39.1</v>
      </c>
      <c r="U127">
        <v>22.4</v>
      </c>
      <c r="V127">
        <v>84</v>
      </c>
      <c r="Z127">
        <v>0.2</v>
      </c>
      <c r="AA127">
        <v>3018.8890000000001</v>
      </c>
      <c r="AB127">
        <v>5.7021888955324362</v>
      </c>
      <c r="AE127">
        <v>9557966698.2536888</v>
      </c>
      <c r="AF127">
        <v>6.7960050048996692</v>
      </c>
      <c r="AG127">
        <v>-0.61236165623456884</v>
      </c>
      <c r="AH127">
        <v>21.230201388859381</v>
      </c>
      <c r="AI127">
        <v>29.137550333051482</v>
      </c>
      <c r="AJ127">
        <v>39.737807822991954</v>
      </c>
      <c r="AK127">
        <v>62.288091302703641</v>
      </c>
      <c r="AL127">
        <v>49.068121527320422</v>
      </c>
      <c r="AO127">
        <v>2.05903871155909</v>
      </c>
      <c r="AP127">
        <v>109.884</v>
      </c>
      <c r="AQ127">
        <v>3.9794933820120266</v>
      </c>
      <c r="AR127">
        <v>93.09511406464442</v>
      </c>
      <c r="AS127">
        <v>108</v>
      </c>
      <c r="AT127">
        <v>4559340624.3999996</v>
      </c>
      <c r="AU127">
        <v>3.6101989402264634</v>
      </c>
      <c r="AV127">
        <v>2999</v>
      </c>
      <c r="AW127">
        <v>22860178.988959901</v>
      </c>
      <c r="AX127">
        <v>1401620461.8227401</v>
      </c>
      <c r="AY127">
        <v>67.213898673970817</v>
      </c>
      <c r="AZ127">
        <v>1960.3524007742351</v>
      </c>
      <c r="BA127">
        <v>-1401620461.8227401</v>
      </c>
      <c r="BB127">
        <v>9.5252662862284296</v>
      </c>
    </row>
    <row r="128" spans="1:54" x14ac:dyDescent="0.25">
      <c r="A128">
        <v>126</v>
      </c>
      <c r="B128">
        <v>2022</v>
      </c>
      <c r="C128" t="s">
        <v>54</v>
      </c>
      <c r="D128" t="s">
        <v>307</v>
      </c>
      <c r="E128" t="s">
        <v>308</v>
      </c>
      <c r="F128">
        <v>1262523</v>
      </c>
      <c r="G128">
        <v>-0.30140121683527699</v>
      </c>
      <c r="H128">
        <v>2010</v>
      </c>
      <c r="J128">
        <v>14940052743.384499</v>
      </c>
      <c r="K128">
        <v>11830</v>
      </c>
      <c r="L128">
        <v>37731409423.398598</v>
      </c>
      <c r="M128">
        <v>29890</v>
      </c>
      <c r="O128">
        <v>73.514634146341464</v>
      </c>
      <c r="P128">
        <v>1.32</v>
      </c>
      <c r="Q128">
        <v>20.064</v>
      </c>
      <c r="T128">
        <v>15.5</v>
      </c>
      <c r="V128">
        <v>98</v>
      </c>
      <c r="AA128">
        <v>388.5</v>
      </c>
      <c r="AB128">
        <v>21.351897471617512</v>
      </c>
      <c r="AC128">
        <v>1095.7387970488301</v>
      </c>
      <c r="AD128">
        <v>2334.2149014314987</v>
      </c>
      <c r="AE128">
        <v>12936444123.303709</v>
      </c>
      <c r="AF128">
        <v>8.6930667526406609</v>
      </c>
      <c r="AG128">
        <v>8.5248660449088334</v>
      </c>
      <c r="AH128">
        <v>3.5551325476583711</v>
      </c>
      <c r="AI128">
        <v>18.066091873582845</v>
      </c>
      <c r="AJ128">
        <v>67.029294852056097</v>
      </c>
      <c r="AK128">
        <v>80.634500181955602</v>
      </c>
      <c r="AL128">
        <v>20.411044705091957</v>
      </c>
      <c r="AM128">
        <v>23.840755325700531</v>
      </c>
      <c r="AN128">
        <v>66.226390485209109</v>
      </c>
      <c r="AO128">
        <v>0.138698687184487</v>
      </c>
      <c r="AP128">
        <v>164.309</v>
      </c>
      <c r="AQ128">
        <v>2.0670796252868011</v>
      </c>
      <c r="AR128">
        <v>69.547705028098136</v>
      </c>
      <c r="AS128">
        <v>74.7</v>
      </c>
      <c r="AT128">
        <v>17652775747.400002</v>
      </c>
      <c r="AU128">
        <v>6.297255010399712</v>
      </c>
      <c r="AV128">
        <v>-2824</v>
      </c>
      <c r="AW128">
        <v>1278876028.9961901</v>
      </c>
      <c r="AX128">
        <v>545909420</v>
      </c>
      <c r="AY128">
        <v>61.666707534579331</v>
      </c>
      <c r="AZ128">
        <v>10246.501745555295</v>
      </c>
      <c r="BA128">
        <v>9339260069.0178699</v>
      </c>
      <c r="BB128">
        <v>10.77375122428991</v>
      </c>
    </row>
    <row r="129" spans="1:54" x14ac:dyDescent="0.25">
      <c r="A129">
        <v>127</v>
      </c>
      <c r="B129">
        <v>2022</v>
      </c>
      <c r="C129" t="s">
        <v>54</v>
      </c>
      <c r="D129" t="s">
        <v>309</v>
      </c>
      <c r="E129" t="s">
        <v>310</v>
      </c>
      <c r="F129">
        <v>128613117</v>
      </c>
      <c r="G129">
        <v>0.75311698860416598</v>
      </c>
      <c r="H129">
        <v>1959142.3</v>
      </c>
      <c r="I129">
        <v>36.299999999999997</v>
      </c>
      <c r="J129">
        <v>1380053978894.6316</v>
      </c>
      <c r="K129">
        <v>10730</v>
      </c>
      <c r="L129">
        <v>2938306345014.1123</v>
      </c>
      <c r="M129">
        <v>22850</v>
      </c>
      <c r="N129">
        <v>5.6</v>
      </c>
      <c r="O129">
        <v>73.972999999999999</v>
      </c>
      <c r="P129">
        <v>1.94</v>
      </c>
      <c r="Q129">
        <v>61.110999999999997</v>
      </c>
      <c r="T129">
        <v>12.9</v>
      </c>
      <c r="U129">
        <v>4.2</v>
      </c>
      <c r="V129">
        <v>86</v>
      </c>
      <c r="W129">
        <v>102.23927307128901</v>
      </c>
      <c r="X129">
        <v>98.357658386230497</v>
      </c>
      <c r="Z129">
        <v>0.4</v>
      </c>
      <c r="AA129">
        <v>654370</v>
      </c>
      <c r="AB129">
        <v>14.340508515765583</v>
      </c>
      <c r="AC129">
        <v>1525.7351611441936</v>
      </c>
      <c r="AD129">
        <v>2371.9664612436072</v>
      </c>
      <c r="AE129">
        <v>1466934724293.064</v>
      </c>
      <c r="AF129">
        <v>3.7097570916362343</v>
      </c>
      <c r="AG129">
        <v>6.6666494746866931</v>
      </c>
      <c r="AH129">
        <v>3.898065709707859</v>
      </c>
      <c r="AI129">
        <v>33.163830524573314</v>
      </c>
      <c r="AJ129">
        <v>42.932290213370187</v>
      </c>
      <c r="AK129">
        <v>45.866195373348368</v>
      </c>
      <c r="AL129">
        <v>22.770194890945437</v>
      </c>
      <c r="AM129">
        <v>19.271161146025552</v>
      </c>
      <c r="AN129">
        <v>30.974141008146589</v>
      </c>
      <c r="AO129">
        <v>0.68581935202886601</v>
      </c>
      <c r="AP129">
        <v>105.71299999999999</v>
      </c>
      <c r="AQ129">
        <v>20.534369225784911</v>
      </c>
      <c r="AR129">
        <v>82.077408085096266</v>
      </c>
      <c r="AS129">
        <v>98.9</v>
      </c>
      <c r="AT129">
        <v>585861539733.19995</v>
      </c>
      <c r="AU129">
        <v>3.8998415613920034</v>
      </c>
      <c r="AV129">
        <v>-108438</v>
      </c>
      <c r="AW129">
        <v>883189736</v>
      </c>
      <c r="AX129">
        <v>39068959282</v>
      </c>
      <c r="AY129">
        <v>3.861850034413675</v>
      </c>
      <c r="AZ129">
        <v>11405.79404737593</v>
      </c>
      <c r="BA129">
        <v>-21725274679</v>
      </c>
      <c r="BB129">
        <v>7.8962761916854971</v>
      </c>
    </row>
    <row r="130" spans="1:54" x14ac:dyDescent="0.25">
      <c r="A130">
        <v>128</v>
      </c>
      <c r="B130">
        <v>2022</v>
      </c>
      <c r="C130" t="s">
        <v>54</v>
      </c>
      <c r="D130" t="s">
        <v>311</v>
      </c>
      <c r="E130" t="s">
        <v>312</v>
      </c>
      <c r="F130">
        <v>112114</v>
      </c>
      <c r="G130">
        <v>0.438013018270765</v>
      </c>
      <c r="H130">
        <v>700</v>
      </c>
      <c r="J130">
        <v>454173342.62089902</v>
      </c>
      <c r="K130">
        <v>4050</v>
      </c>
      <c r="L130">
        <v>511083245.48555189</v>
      </c>
      <c r="M130">
        <v>4560</v>
      </c>
      <c r="O130">
        <v>66.960999999999999</v>
      </c>
      <c r="P130">
        <v>2.7850000000000001</v>
      </c>
      <c r="Q130">
        <v>43.997999999999998</v>
      </c>
      <c r="T130">
        <v>23.9</v>
      </c>
      <c r="V130">
        <v>69</v>
      </c>
      <c r="W130">
        <v>83.144248538043897</v>
      </c>
      <c r="AA130">
        <v>644.79999999999995</v>
      </c>
      <c r="AE130">
        <v>415956900</v>
      </c>
      <c r="AF130">
        <v>-2.9058899986847422</v>
      </c>
      <c r="AG130">
        <v>9.398321184762267</v>
      </c>
      <c r="AH130">
        <v>23.227093960936816</v>
      </c>
      <c r="AI130">
        <v>5.0186449605716357</v>
      </c>
      <c r="AJ130">
        <v>21.156038041441313</v>
      </c>
      <c r="AK130">
        <v>69.478352204278863</v>
      </c>
      <c r="AP130">
        <v>19.988600000000002</v>
      </c>
      <c r="AR130">
        <v>93.51930452409853</v>
      </c>
      <c r="AS130">
        <v>94.4</v>
      </c>
      <c r="AV130">
        <v>-1159</v>
      </c>
      <c r="AX130">
        <v>0</v>
      </c>
      <c r="AY130">
        <v>1358.1880618148045</v>
      </c>
      <c r="AZ130">
        <v>3710.1245161175234</v>
      </c>
      <c r="BB130">
        <v>5.4087437547906658</v>
      </c>
    </row>
    <row r="131" spans="1:54" x14ac:dyDescent="0.25">
      <c r="A131">
        <v>129</v>
      </c>
      <c r="B131">
        <v>2022</v>
      </c>
      <c r="C131" t="s">
        <v>54</v>
      </c>
      <c r="D131" t="s">
        <v>313</v>
      </c>
      <c r="E131" t="s">
        <v>314</v>
      </c>
      <c r="F131">
        <v>2528654</v>
      </c>
      <c r="G131">
        <v>-2.6211076046209101</v>
      </c>
      <c r="H131">
        <v>33850</v>
      </c>
      <c r="I131">
        <v>31.1</v>
      </c>
      <c r="J131">
        <v>14011501446.742916</v>
      </c>
      <c r="K131">
        <v>5540</v>
      </c>
      <c r="L131">
        <v>41774900049.503014</v>
      </c>
      <c r="M131">
        <v>16520</v>
      </c>
      <c r="N131">
        <v>10.199999999999999</v>
      </c>
      <c r="O131">
        <v>71.546000000000006</v>
      </c>
      <c r="P131">
        <v>1.694</v>
      </c>
      <c r="Q131">
        <v>22.384</v>
      </c>
      <c r="T131">
        <v>14.8</v>
      </c>
      <c r="V131">
        <v>84</v>
      </c>
      <c r="W131">
        <v>107.96166964430699</v>
      </c>
      <c r="X131">
        <v>97.613672597410897</v>
      </c>
      <c r="Z131">
        <v>0.9</v>
      </c>
      <c r="AA131">
        <v>3865</v>
      </c>
      <c r="AB131">
        <v>10.795962260670958</v>
      </c>
      <c r="AC131">
        <v>1422.6357530391385</v>
      </c>
      <c r="AD131">
        <v>2255.3500795284763</v>
      </c>
      <c r="AE131">
        <v>14525337523.727076</v>
      </c>
      <c r="AF131">
        <v>-4.6000000255322959</v>
      </c>
      <c r="AG131">
        <v>18.855323059100797</v>
      </c>
      <c r="AH131">
        <v>8.1142800005842126</v>
      </c>
      <c r="AI131">
        <v>19.09082181107453</v>
      </c>
      <c r="AJ131">
        <v>41.22645945444993</v>
      </c>
      <c r="AK131">
        <v>70.891212125315619</v>
      </c>
      <c r="AL131">
        <v>27.310429524944404</v>
      </c>
      <c r="AM131">
        <v>29.313915920635132</v>
      </c>
      <c r="AO131">
        <v>0.360059008856848</v>
      </c>
      <c r="AP131">
        <v>137.18299999999999</v>
      </c>
      <c r="AQ131">
        <v>2.1401803935369017</v>
      </c>
      <c r="AR131">
        <v>93.292152267473995</v>
      </c>
      <c r="AS131">
        <v>99.8</v>
      </c>
      <c r="AT131">
        <v>9752045571.3999996</v>
      </c>
      <c r="AU131">
        <v>4.7691663693139565</v>
      </c>
      <c r="AV131">
        <v>89154</v>
      </c>
      <c r="AW131">
        <v>519180000</v>
      </c>
      <c r="AX131">
        <v>586020000</v>
      </c>
      <c r="AY131">
        <v>350.28283014989159</v>
      </c>
      <c r="AZ131">
        <v>5744.2961843443491</v>
      </c>
      <c r="BA131">
        <v>-541060000</v>
      </c>
      <c r="BB131">
        <v>28.737297676623459</v>
      </c>
    </row>
    <row r="132" spans="1:54" x14ac:dyDescent="0.25">
      <c r="A132">
        <v>130</v>
      </c>
      <c r="B132">
        <v>2022</v>
      </c>
      <c r="C132" t="s">
        <v>54</v>
      </c>
      <c r="D132" t="s">
        <v>315</v>
      </c>
      <c r="E132" t="s">
        <v>316</v>
      </c>
      <c r="F132">
        <v>38931</v>
      </c>
      <c r="G132">
        <v>1.0431554223189601</v>
      </c>
      <c r="H132">
        <v>74.900000000000006</v>
      </c>
      <c r="O132">
        <v>85.745999999999995</v>
      </c>
      <c r="P132">
        <v>2.1139999999999999</v>
      </c>
      <c r="Q132">
        <v>9.7240000000000002</v>
      </c>
      <c r="T132">
        <v>2.8</v>
      </c>
      <c r="V132">
        <v>88</v>
      </c>
      <c r="AA132">
        <v>0</v>
      </c>
      <c r="AB132">
        <v>1669.0467628822539</v>
      </c>
      <c r="AE132">
        <v>8800430486.1713696</v>
      </c>
      <c r="AF132">
        <v>11.266295519860051</v>
      </c>
      <c r="AG132">
        <v>3.0174577769232371</v>
      </c>
      <c r="AI132">
        <v>12.275789448492899</v>
      </c>
      <c r="AP132">
        <v>100.062</v>
      </c>
      <c r="AV132">
        <v>995</v>
      </c>
      <c r="AZ132">
        <v>226052.00190520074</v>
      </c>
    </row>
    <row r="133" spans="1:54" x14ac:dyDescent="0.25">
      <c r="A133">
        <v>131</v>
      </c>
      <c r="B133">
        <v>2022</v>
      </c>
      <c r="C133" t="s">
        <v>54</v>
      </c>
      <c r="D133" t="s">
        <v>317</v>
      </c>
      <c r="E133" t="s">
        <v>318</v>
      </c>
      <c r="F133">
        <v>3433748</v>
      </c>
      <c r="G133">
        <v>1.46704738017187</v>
      </c>
      <c r="H133">
        <v>1564120</v>
      </c>
      <c r="I133">
        <v>27.1</v>
      </c>
      <c r="J133">
        <v>14888009092.164427</v>
      </c>
      <c r="K133">
        <v>4340</v>
      </c>
      <c r="L133">
        <v>50928250872.191719</v>
      </c>
      <c r="M133">
        <v>14830</v>
      </c>
      <c r="N133">
        <v>8.1999999999999993</v>
      </c>
      <c r="O133">
        <v>71.900731707317078</v>
      </c>
      <c r="P133">
        <v>2.7</v>
      </c>
      <c r="Q133">
        <v>20.539000000000001</v>
      </c>
      <c r="T133">
        <v>13.9</v>
      </c>
      <c r="V133">
        <v>94</v>
      </c>
      <c r="W133">
        <v>96.120109063939907</v>
      </c>
      <c r="X133">
        <v>93.550827267612306</v>
      </c>
      <c r="Z133">
        <v>0.1</v>
      </c>
      <c r="AA133">
        <v>141710</v>
      </c>
      <c r="AB133">
        <v>31.23259316357694</v>
      </c>
      <c r="AC133">
        <v>1890.6311392926214</v>
      </c>
      <c r="AD133">
        <v>2545.614879134986</v>
      </c>
      <c r="AE133">
        <v>17146471713.748024</v>
      </c>
      <c r="AF133">
        <v>5.0327096366526973</v>
      </c>
      <c r="AG133">
        <v>17.71471241775015</v>
      </c>
      <c r="AH133">
        <v>13.027853403536085</v>
      </c>
      <c r="AI133">
        <v>35.312217566944618</v>
      </c>
      <c r="AJ133">
        <v>65.061351155861459</v>
      </c>
      <c r="AK133">
        <v>71.266578788654797</v>
      </c>
      <c r="AL133">
        <v>42.332100038467793</v>
      </c>
      <c r="AM133">
        <v>29.842143353938532</v>
      </c>
      <c r="AO133">
        <v>0.51393627301297806</v>
      </c>
      <c r="AP133">
        <v>142.809</v>
      </c>
      <c r="AQ133">
        <v>30.814169089735877</v>
      </c>
      <c r="AR133">
        <v>123.89137750693855</v>
      </c>
      <c r="AS133">
        <v>148.5</v>
      </c>
      <c r="AT133">
        <v>33701162514.400002</v>
      </c>
      <c r="AU133">
        <v>25.821596148377484</v>
      </c>
      <c r="AV133">
        <v>0</v>
      </c>
      <c r="AW133">
        <v>128976380.35565799</v>
      </c>
      <c r="AX133">
        <v>2504294749.6508498</v>
      </c>
      <c r="AY133">
        <v>83.166210176555765</v>
      </c>
      <c r="AZ133">
        <v>4993.5148746349541</v>
      </c>
      <c r="BA133">
        <v>-2428437139.9706903</v>
      </c>
      <c r="BB133">
        <v>15.15097282008049</v>
      </c>
    </row>
    <row r="134" spans="1:54" x14ac:dyDescent="0.25">
      <c r="A134">
        <v>132</v>
      </c>
      <c r="B134">
        <v>2022</v>
      </c>
      <c r="C134" t="s">
        <v>54</v>
      </c>
      <c r="D134" t="s">
        <v>319</v>
      </c>
      <c r="E134" t="s">
        <v>320</v>
      </c>
      <c r="F134">
        <v>623591</v>
      </c>
      <c r="G134">
        <v>-0.234174139002603</v>
      </c>
      <c r="H134">
        <v>13810</v>
      </c>
      <c r="I134">
        <v>20.100000000000001</v>
      </c>
      <c r="J134">
        <v>6492750962.7375002</v>
      </c>
      <c r="K134">
        <v>10410</v>
      </c>
      <c r="L134">
        <v>17613248710.302952</v>
      </c>
      <c r="M134">
        <v>28240</v>
      </c>
      <c r="O134">
        <v>76.187804878048794</v>
      </c>
      <c r="P134">
        <v>1.8</v>
      </c>
      <c r="Q134">
        <v>10.013</v>
      </c>
      <c r="T134">
        <v>2.7</v>
      </c>
      <c r="V134">
        <v>33</v>
      </c>
      <c r="W134">
        <v>110.560340881348</v>
      </c>
      <c r="X134">
        <v>92.160972595214801</v>
      </c>
      <c r="Z134">
        <v>0.1</v>
      </c>
      <c r="AA134">
        <v>8270</v>
      </c>
      <c r="AB134">
        <v>2.1964028824444086</v>
      </c>
      <c r="AC134">
        <v>1674.1286028328504</v>
      </c>
      <c r="AD134">
        <v>4345.7971651290673</v>
      </c>
      <c r="AE134">
        <v>6251215144.1347084</v>
      </c>
      <c r="AF134">
        <v>7.7395468951620074</v>
      </c>
      <c r="AG134">
        <v>12.067802071296924</v>
      </c>
      <c r="AH134">
        <v>3.9967276657340491</v>
      </c>
      <c r="AI134">
        <v>13.432834590585173</v>
      </c>
      <c r="AJ134">
        <v>51.344941663811724</v>
      </c>
      <c r="AK134">
        <v>74.110996091182258</v>
      </c>
      <c r="AL134">
        <v>27.58259334172838</v>
      </c>
      <c r="AO134">
        <v>1.5730370839521401</v>
      </c>
      <c r="AP134">
        <v>207.27799999999999</v>
      </c>
      <c r="AQ134">
        <v>8.2101950697073018</v>
      </c>
      <c r="AR134">
        <v>71.122172209534696</v>
      </c>
      <c r="AT134">
        <v>8806406767.7999992</v>
      </c>
      <c r="AU134">
        <v>13.11047083377073</v>
      </c>
      <c r="AV134">
        <v>26332</v>
      </c>
      <c r="AW134">
        <v>123410267.489741</v>
      </c>
      <c r="AX134">
        <v>872558550.29381394</v>
      </c>
      <c r="AY134">
        <v>166.31362151036495</v>
      </c>
      <c r="AZ134">
        <v>10024.543561620851</v>
      </c>
      <c r="BA134">
        <v>-820995165.29744506</v>
      </c>
      <c r="BB134">
        <v>13.04030363470036</v>
      </c>
    </row>
    <row r="135" spans="1:54" x14ac:dyDescent="0.25">
      <c r="A135">
        <v>133</v>
      </c>
      <c r="B135">
        <v>2022</v>
      </c>
      <c r="C135" t="s">
        <v>54</v>
      </c>
      <c r="D135" t="s">
        <v>321</v>
      </c>
      <c r="E135" t="s">
        <v>322</v>
      </c>
      <c r="F135">
        <v>37329064</v>
      </c>
      <c r="G135">
        <v>1.0086362267270099</v>
      </c>
      <c r="H135">
        <v>446550</v>
      </c>
      <c r="I135">
        <v>3.9</v>
      </c>
      <c r="J135">
        <v>140280376966.64182</v>
      </c>
      <c r="K135">
        <v>3700</v>
      </c>
      <c r="L135">
        <v>347683377640.4834</v>
      </c>
      <c r="M135">
        <v>9170</v>
      </c>
      <c r="O135">
        <v>75.161000000000001</v>
      </c>
      <c r="P135">
        <v>2.2559999999999998</v>
      </c>
      <c r="Q135">
        <v>25.562999999999999</v>
      </c>
      <c r="T135">
        <v>17.2</v>
      </c>
      <c r="V135">
        <v>99</v>
      </c>
      <c r="W135">
        <v>98.927877387892806</v>
      </c>
      <c r="X135">
        <v>84.455372402925093</v>
      </c>
      <c r="Z135">
        <v>0.1</v>
      </c>
      <c r="AA135">
        <v>57633.789000000004</v>
      </c>
      <c r="AB135">
        <v>11.953639290702151</v>
      </c>
      <c r="AC135">
        <v>602.99447775090744</v>
      </c>
      <c r="AD135">
        <v>978.27258674366976</v>
      </c>
      <c r="AE135">
        <v>131245312804.48317</v>
      </c>
      <c r="AF135">
        <v>1.8126924219480856</v>
      </c>
      <c r="AG135">
        <v>2.6033513081370927</v>
      </c>
      <c r="AH135">
        <v>9.7961889378563356</v>
      </c>
      <c r="AI135">
        <v>26.085551303711402</v>
      </c>
      <c r="AJ135">
        <v>44.711628231345315</v>
      </c>
      <c r="AK135">
        <v>56.194681970306078</v>
      </c>
      <c r="AL135">
        <v>30.460301498493859</v>
      </c>
      <c r="AM135">
        <v>26.827845027404525</v>
      </c>
      <c r="AN135">
        <v>40.920943272090284</v>
      </c>
      <c r="AO135">
        <v>3.8134128688865898</v>
      </c>
      <c r="AP135">
        <v>141.87</v>
      </c>
      <c r="AQ135">
        <v>4.498382084083878</v>
      </c>
      <c r="AR135">
        <v>86.317749243179236</v>
      </c>
      <c r="AS135">
        <v>88.1</v>
      </c>
      <c r="AT135">
        <v>64971802459.599998</v>
      </c>
      <c r="AU135">
        <v>4.6525723310190576</v>
      </c>
      <c r="AV135">
        <v>-38594</v>
      </c>
      <c r="AW135">
        <v>156045619.045315</v>
      </c>
      <c r="AX135">
        <v>2294356059.1733298</v>
      </c>
      <c r="AY135">
        <v>37.946127130407824</v>
      </c>
      <c r="AZ135">
        <v>3463.1376953125</v>
      </c>
      <c r="BA135">
        <v>-1654898394.1652</v>
      </c>
      <c r="BB135">
        <v>6.657042027590669</v>
      </c>
    </row>
    <row r="136" spans="1:54" x14ac:dyDescent="0.25">
      <c r="A136">
        <v>134</v>
      </c>
      <c r="B136">
        <v>2022</v>
      </c>
      <c r="C136" t="s">
        <v>54</v>
      </c>
      <c r="D136" t="s">
        <v>323</v>
      </c>
      <c r="E136" t="s">
        <v>324</v>
      </c>
      <c r="F136">
        <v>32656246</v>
      </c>
      <c r="G136">
        <v>2.9473431712574998</v>
      </c>
      <c r="H136">
        <v>799380</v>
      </c>
      <c r="I136">
        <v>65</v>
      </c>
      <c r="J136">
        <v>16343626291.825567</v>
      </c>
      <c r="K136">
        <v>500</v>
      </c>
      <c r="L136">
        <v>47770424968.190979</v>
      </c>
      <c r="M136">
        <v>1460</v>
      </c>
      <c r="N136">
        <v>4.7</v>
      </c>
      <c r="O136">
        <v>63.011000000000003</v>
      </c>
      <c r="P136">
        <v>4.84</v>
      </c>
      <c r="Q136">
        <v>155.27600000000001</v>
      </c>
      <c r="T136">
        <v>64.3</v>
      </c>
      <c r="U136">
        <v>15.4</v>
      </c>
      <c r="V136">
        <v>63</v>
      </c>
      <c r="W136">
        <v>72.365568684557402</v>
      </c>
      <c r="Z136">
        <v>12.1</v>
      </c>
      <c r="AA136">
        <v>362673.196</v>
      </c>
      <c r="AB136">
        <v>13.214559215709738</v>
      </c>
      <c r="AC136">
        <v>358.63769436174931</v>
      </c>
      <c r="AD136">
        <v>397.71870900286581</v>
      </c>
      <c r="AE136">
        <v>18883528581.373402</v>
      </c>
      <c r="AF136">
        <v>4.3644507443260778</v>
      </c>
      <c r="AG136">
        <v>9.1516142004213208</v>
      </c>
      <c r="AH136">
        <v>25.639222108274129</v>
      </c>
      <c r="AI136">
        <v>23.242594990289202</v>
      </c>
      <c r="AJ136">
        <v>49.826942804041714</v>
      </c>
      <c r="AK136">
        <v>85.452635612949663</v>
      </c>
      <c r="AL136">
        <v>43.204346804456087</v>
      </c>
      <c r="AM136">
        <v>24.569684253564809</v>
      </c>
      <c r="AO136">
        <v>2.20848120068367</v>
      </c>
      <c r="AP136">
        <v>45.817799999999998</v>
      </c>
      <c r="AQ136">
        <v>3.1796241811662123</v>
      </c>
      <c r="AR136">
        <v>121.64040158605458</v>
      </c>
      <c r="AS136">
        <v>154.9</v>
      </c>
      <c r="AT136">
        <v>66289653065.300003</v>
      </c>
      <c r="AU136">
        <v>32.537097975437241</v>
      </c>
      <c r="AV136">
        <v>-34936</v>
      </c>
      <c r="AW136">
        <v>190209671.49158001</v>
      </c>
      <c r="AX136">
        <v>3022175565.2380199</v>
      </c>
      <c r="AY136">
        <v>78.836784477137385</v>
      </c>
      <c r="AZ136">
        <v>578.25166375135097</v>
      </c>
      <c r="BA136">
        <v>-2458453111.4350204</v>
      </c>
      <c r="BB136">
        <v>10.27940180934209</v>
      </c>
    </row>
    <row r="137" spans="1:54" x14ac:dyDescent="0.25">
      <c r="A137">
        <v>135</v>
      </c>
      <c r="B137">
        <v>2022</v>
      </c>
      <c r="C137" t="s">
        <v>54</v>
      </c>
      <c r="D137" t="s">
        <v>325</v>
      </c>
      <c r="E137" t="s">
        <v>326</v>
      </c>
      <c r="F137">
        <v>53756787</v>
      </c>
      <c r="G137">
        <v>0.690074759264932</v>
      </c>
      <c r="H137">
        <v>676590</v>
      </c>
      <c r="J137">
        <v>69016886073.129028</v>
      </c>
      <c r="K137">
        <v>1280</v>
      </c>
      <c r="L137">
        <v>301651599821.14026</v>
      </c>
      <c r="M137">
        <v>5610</v>
      </c>
      <c r="O137">
        <v>66.506</v>
      </c>
      <c r="P137">
        <v>2.1309999999999998</v>
      </c>
      <c r="Q137">
        <v>33.819000000000003</v>
      </c>
      <c r="T137">
        <v>40</v>
      </c>
      <c r="V137">
        <v>75</v>
      </c>
      <c r="Z137">
        <v>0.9</v>
      </c>
      <c r="AA137">
        <v>279644.7</v>
      </c>
      <c r="AB137">
        <v>1.9003851310582893</v>
      </c>
      <c r="AC137">
        <v>399.5211852145386</v>
      </c>
      <c r="AD137">
        <v>354.13202801722508</v>
      </c>
      <c r="AE137">
        <v>62253049903.280022</v>
      </c>
      <c r="AF137">
        <v>4.0374934360085035</v>
      </c>
      <c r="AG137">
        <v>6.1637164890589844</v>
      </c>
      <c r="AH137">
        <v>22.334350076849493</v>
      </c>
      <c r="AI137">
        <v>38.247135765302346</v>
      </c>
      <c r="AO137">
        <v>4.1705894283821499</v>
      </c>
      <c r="AP137">
        <v>107.535</v>
      </c>
      <c r="AQ137">
        <v>2.6145783956440805</v>
      </c>
      <c r="AR137">
        <v>55.399695362046643</v>
      </c>
      <c r="AS137">
        <v>122</v>
      </c>
      <c r="AT137">
        <v>12535377301.1</v>
      </c>
      <c r="AU137">
        <v>1.5525203611733203</v>
      </c>
      <c r="AV137">
        <v>-34988</v>
      </c>
      <c r="AX137">
        <v>1238500000</v>
      </c>
      <c r="AY137">
        <v>18.616843250808312</v>
      </c>
      <c r="AZ137">
        <v>1158.0500505597558</v>
      </c>
    </row>
    <row r="138" spans="1:54" x14ac:dyDescent="0.25">
      <c r="A138">
        <v>136</v>
      </c>
      <c r="B138">
        <v>2022</v>
      </c>
      <c r="C138" t="s">
        <v>54</v>
      </c>
      <c r="D138" t="s">
        <v>327</v>
      </c>
      <c r="E138" t="s">
        <v>328</v>
      </c>
      <c r="F138">
        <v>2889662</v>
      </c>
      <c r="G138">
        <v>2.7760058141517798</v>
      </c>
      <c r="H138">
        <v>824290</v>
      </c>
      <c r="J138">
        <v>12368995252.748913</v>
      </c>
      <c r="K138">
        <v>4280</v>
      </c>
      <c r="L138">
        <v>29449724858.251255</v>
      </c>
      <c r="M138">
        <v>10190</v>
      </c>
      <c r="O138">
        <v>64.19</v>
      </c>
      <c r="P138">
        <v>3.2480000000000002</v>
      </c>
      <c r="Q138">
        <v>66.897000000000006</v>
      </c>
      <c r="T138">
        <v>42</v>
      </c>
      <c r="V138">
        <v>89</v>
      </c>
      <c r="W138">
        <v>101.80710952299501</v>
      </c>
      <c r="X138">
        <v>81.816369117153201</v>
      </c>
      <c r="Z138">
        <v>9.8000000000000007</v>
      </c>
      <c r="AA138">
        <v>64968.800000000003</v>
      </c>
      <c r="AB138">
        <v>109.61325427957178</v>
      </c>
      <c r="AC138">
        <v>692.46135644106823</v>
      </c>
      <c r="AD138">
        <v>1230.9398123379135</v>
      </c>
      <c r="AE138">
        <v>12569449123.366074</v>
      </c>
      <c r="AF138">
        <v>5.3987247803653986</v>
      </c>
      <c r="AG138">
        <v>6.4167445209003802</v>
      </c>
      <c r="AH138">
        <v>8.7588936645764832</v>
      </c>
      <c r="AI138">
        <v>27.111725577059996</v>
      </c>
      <c r="AJ138">
        <v>40.458471829962548</v>
      </c>
      <c r="AK138">
        <v>58.804082951443846</v>
      </c>
      <c r="AL138">
        <v>19.974205644526297</v>
      </c>
      <c r="AM138">
        <v>31.289745742770751</v>
      </c>
      <c r="AN138">
        <v>17.174022336325827</v>
      </c>
      <c r="AO138">
        <v>2.91089959085182</v>
      </c>
      <c r="AP138">
        <v>100.55800000000001</v>
      </c>
      <c r="AQ138">
        <v>5.6365655715424165E-2</v>
      </c>
      <c r="AR138">
        <v>108.38979390650908</v>
      </c>
      <c r="AS138">
        <v>99.9</v>
      </c>
      <c r="AV138">
        <v>22212</v>
      </c>
      <c r="AW138">
        <v>57689297.854373597</v>
      </c>
      <c r="AX138">
        <v>1056032870.1095999</v>
      </c>
      <c r="AY138">
        <v>113.02729774480855</v>
      </c>
      <c r="AZ138">
        <v>4349.7990849331418</v>
      </c>
      <c r="BA138">
        <v>-1045130.4519760701</v>
      </c>
      <c r="BB138">
        <v>6.0812811411241317</v>
      </c>
    </row>
    <row r="139" spans="1:54" x14ac:dyDescent="0.25">
      <c r="A139">
        <v>137</v>
      </c>
      <c r="B139">
        <v>2022</v>
      </c>
      <c r="C139" t="s">
        <v>54</v>
      </c>
      <c r="D139" t="s">
        <v>329</v>
      </c>
      <c r="E139" t="s">
        <v>330</v>
      </c>
      <c r="F139">
        <v>11801</v>
      </c>
      <c r="G139">
        <v>0.78264967770240701</v>
      </c>
      <c r="H139">
        <v>20</v>
      </c>
      <c r="J139">
        <v>266358725.06346968</v>
      </c>
      <c r="K139">
        <v>22570</v>
      </c>
      <c r="L139">
        <v>256458383.76081723</v>
      </c>
      <c r="M139">
        <v>21730</v>
      </c>
      <c r="O139">
        <v>61.93</v>
      </c>
      <c r="P139">
        <v>3.379</v>
      </c>
      <c r="Q139">
        <v>78.372</v>
      </c>
      <c r="T139">
        <v>9.5</v>
      </c>
      <c r="V139">
        <v>98</v>
      </c>
      <c r="X139">
        <v>92.781463623046903</v>
      </c>
      <c r="AA139">
        <v>0</v>
      </c>
      <c r="AE139">
        <v>152373433.90947422</v>
      </c>
      <c r="AF139">
        <v>2.8776978417260892</v>
      </c>
      <c r="AG139">
        <v>-13.137925903882916</v>
      </c>
      <c r="AJ139">
        <v>53.810476190476187</v>
      </c>
      <c r="AK139">
        <v>113.5282857142857</v>
      </c>
      <c r="AP139">
        <v>87.170599999999993</v>
      </c>
      <c r="AR139">
        <v>85.972991904761898</v>
      </c>
      <c r="AS139">
        <v>65.099999999999994</v>
      </c>
      <c r="AV139">
        <v>-144</v>
      </c>
      <c r="AW139">
        <v>15632496.1010122</v>
      </c>
      <c r="AX139">
        <v>-9015925.9452990107</v>
      </c>
      <c r="AY139">
        <v>3007.7599780093469</v>
      </c>
      <c r="AZ139">
        <v>12911.908644138142</v>
      </c>
      <c r="BA139">
        <v>11498681.192361901</v>
      </c>
    </row>
    <row r="140" spans="1:54" x14ac:dyDescent="0.25">
      <c r="A140">
        <v>138</v>
      </c>
      <c r="B140">
        <v>2022</v>
      </c>
      <c r="C140" t="s">
        <v>54</v>
      </c>
      <c r="D140" t="s">
        <v>331</v>
      </c>
      <c r="E140" t="s">
        <v>332</v>
      </c>
      <c r="F140">
        <v>29715436</v>
      </c>
      <c r="G140">
        <v>0.81238557412485002</v>
      </c>
      <c r="H140">
        <v>147180</v>
      </c>
      <c r="I140">
        <v>20.3</v>
      </c>
      <c r="J140">
        <v>41059735664.240623</v>
      </c>
      <c r="K140">
        <v>1380</v>
      </c>
      <c r="L140">
        <v>152516393547.42609</v>
      </c>
      <c r="M140">
        <v>5130</v>
      </c>
      <c r="N140">
        <v>8.6999999999999993</v>
      </c>
      <c r="O140">
        <v>70.087000000000003</v>
      </c>
      <c r="P140">
        <v>2.0019999999999998</v>
      </c>
      <c r="Q140">
        <v>68.33</v>
      </c>
      <c r="R140">
        <v>57.2</v>
      </c>
      <c r="T140">
        <v>27.5</v>
      </c>
      <c r="U140">
        <v>18.3</v>
      </c>
      <c r="V140">
        <v>90</v>
      </c>
      <c r="W140">
        <v>101.509212035858</v>
      </c>
      <c r="X140">
        <v>84.102647587628496</v>
      </c>
      <c r="Y140">
        <v>0.95438796281814597</v>
      </c>
      <c r="Z140">
        <v>0.1</v>
      </c>
      <c r="AA140">
        <v>59620.3</v>
      </c>
      <c r="AB140">
        <v>3.4841963488338914</v>
      </c>
      <c r="AC140">
        <v>519.95060410348344</v>
      </c>
      <c r="AD140">
        <v>321.0452641516012</v>
      </c>
      <c r="AE140">
        <v>41182939600.620857</v>
      </c>
      <c r="AF140">
        <v>5.6313145568450977</v>
      </c>
      <c r="AG140">
        <v>8.2411919550254851</v>
      </c>
      <c r="AH140">
        <v>20.914369981512881</v>
      </c>
      <c r="AI140">
        <v>12.181228473134247</v>
      </c>
      <c r="AJ140">
        <v>6.702390865892359</v>
      </c>
      <c r="AK140">
        <v>42.271010614050418</v>
      </c>
      <c r="AL140">
        <v>37.643848252685089</v>
      </c>
      <c r="AO140">
        <v>1.15743842490309</v>
      </c>
      <c r="AP140">
        <v>133.273</v>
      </c>
      <c r="AQ140">
        <v>0.6175207044758716</v>
      </c>
      <c r="AR140">
        <v>36.498123120316059</v>
      </c>
      <c r="AS140">
        <v>97.6</v>
      </c>
      <c r="AT140">
        <v>9183774214.5</v>
      </c>
      <c r="AU140">
        <v>0.82283319945729916</v>
      </c>
      <c r="AV140">
        <v>-379321</v>
      </c>
      <c r="AW140">
        <v>101146853.28312001</v>
      </c>
      <c r="AX140">
        <v>66059660.947571002</v>
      </c>
      <c r="AY140">
        <v>40.340152496048184</v>
      </c>
      <c r="AZ140">
        <v>1385.9106627485075</v>
      </c>
      <c r="BA140">
        <v>-66059660.947571002</v>
      </c>
      <c r="BB140">
        <v>7.6702057938028041</v>
      </c>
    </row>
    <row r="141" spans="1:54" x14ac:dyDescent="0.25">
      <c r="A141">
        <v>139</v>
      </c>
      <c r="B141">
        <v>2022</v>
      </c>
      <c r="C141" t="s">
        <v>54</v>
      </c>
      <c r="D141" t="s">
        <v>333</v>
      </c>
      <c r="E141" t="s">
        <v>334</v>
      </c>
      <c r="F141">
        <v>17700982</v>
      </c>
      <c r="G141">
        <v>0.95327892285453697</v>
      </c>
      <c r="H141">
        <v>41540</v>
      </c>
      <c r="J141">
        <v>1099444058955.9088</v>
      </c>
      <c r="K141">
        <v>62110</v>
      </c>
      <c r="L141">
        <v>1345546889171.0476</v>
      </c>
      <c r="M141">
        <v>76020</v>
      </c>
      <c r="O141">
        <v>81.614634146341473</v>
      </c>
      <c r="P141">
        <v>1.49</v>
      </c>
      <c r="Q141">
        <v>2.0710000000000002</v>
      </c>
      <c r="T141">
        <v>4</v>
      </c>
      <c r="V141">
        <v>89</v>
      </c>
      <c r="X141">
        <v>138.767501831055</v>
      </c>
      <c r="Z141">
        <v>0.2</v>
      </c>
      <c r="AA141">
        <v>3713.6890000000003</v>
      </c>
      <c r="AB141">
        <v>111.30434395876652</v>
      </c>
      <c r="AC141">
        <v>3570.1203199439897</v>
      </c>
      <c r="AD141">
        <v>6352.0769638656202</v>
      </c>
      <c r="AE141">
        <v>1046540797548.6422</v>
      </c>
      <c r="AF141">
        <v>5.0072345515961132</v>
      </c>
      <c r="AG141">
        <v>6.1555749650832752</v>
      </c>
      <c r="AH141">
        <v>1.6419472339055361</v>
      </c>
      <c r="AI141">
        <v>18.656396530558851</v>
      </c>
      <c r="AJ141">
        <v>96.443621581372881</v>
      </c>
      <c r="AK141">
        <v>87.663862671308692</v>
      </c>
      <c r="AL141">
        <v>22.863295164114223</v>
      </c>
      <c r="AM141">
        <v>39.167253627417445</v>
      </c>
      <c r="AO141">
        <v>1.3041999557263901</v>
      </c>
      <c r="AP141">
        <v>115.821</v>
      </c>
      <c r="AQ141">
        <v>21.957838012434244</v>
      </c>
      <c r="AR141">
        <v>177.74825447390543</v>
      </c>
      <c r="AS141">
        <v>93</v>
      </c>
      <c r="AV141">
        <v>224472</v>
      </c>
      <c r="AW141">
        <v>15349298860.227301</v>
      </c>
      <c r="AX141">
        <v>15457596582.888599</v>
      </c>
      <c r="AZ141">
        <v>59123.318556486993</v>
      </c>
      <c r="BA141">
        <v>158515694082.198</v>
      </c>
      <c r="BB141">
        <v>10.00120787534728</v>
      </c>
    </row>
    <row r="142" spans="1:54" x14ac:dyDescent="0.25">
      <c r="A142">
        <v>140</v>
      </c>
      <c r="B142">
        <v>2022</v>
      </c>
      <c r="C142" t="s">
        <v>54</v>
      </c>
      <c r="D142" t="s">
        <v>335</v>
      </c>
      <c r="E142" t="s">
        <v>336</v>
      </c>
      <c r="F142">
        <v>287123</v>
      </c>
      <c r="G142">
        <v>0.66709196832952999</v>
      </c>
      <c r="H142">
        <v>18580</v>
      </c>
      <c r="J142">
        <v>10617611116.776566</v>
      </c>
      <c r="K142">
        <v>36980</v>
      </c>
      <c r="O142">
        <v>77.697999999999993</v>
      </c>
      <c r="P142">
        <v>1.998</v>
      </c>
      <c r="Q142">
        <v>12.148</v>
      </c>
      <c r="AA142">
        <v>8378.2000000000007</v>
      </c>
      <c r="AE142">
        <v>9623318718.3145943</v>
      </c>
      <c r="AF142">
        <v>3.5000000000000568</v>
      </c>
      <c r="AG142">
        <v>3.8457149378066333</v>
      </c>
      <c r="AJ142">
        <v>15.381977026145147</v>
      </c>
      <c r="AK142">
        <v>35.090771717818775</v>
      </c>
      <c r="AL142">
        <v>26.174632903921431</v>
      </c>
      <c r="AP142">
        <v>91.676400000000001</v>
      </c>
      <c r="AR142">
        <v>61.75624204038462</v>
      </c>
      <c r="AS142">
        <v>130.5</v>
      </c>
      <c r="AV142">
        <v>485</v>
      </c>
      <c r="AX142">
        <v>696307350</v>
      </c>
      <c r="AZ142">
        <v>33516.363085906021</v>
      </c>
    </row>
    <row r="143" spans="1:54" x14ac:dyDescent="0.25">
      <c r="A143">
        <v>141</v>
      </c>
      <c r="B143">
        <v>2022</v>
      </c>
      <c r="C143" t="s">
        <v>54</v>
      </c>
      <c r="D143" t="s">
        <v>337</v>
      </c>
      <c r="E143" t="s">
        <v>338</v>
      </c>
      <c r="F143">
        <v>5081700</v>
      </c>
      <c r="G143">
        <v>-5.7051239460947603E-2</v>
      </c>
      <c r="H143">
        <v>267710</v>
      </c>
      <c r="J143">
        <v>249840285237.79059</v>
      </c>
      <c r="K143">
        <v>49160</v>
      </c>
      <c r="L143">
        <v>265491966869.92197</v>
      </c>
      <c r="M143">
        <v>52240</v>
      </c>
      <c r="O143">
        <v>81.958536585365849</v>
      </c>
      <c r="P143">
        <v>1.66</v>
      </c>
      <c r="Q143">
        <v>10.936999999999999</v>
      </c>
      <c r="T143">
        <v>4.8</v>
      </c>
      <c r="V143">
        <v>90</v>
      </c>
      <c r="X143">
        <v>114.774932861328</v>
      </c>
      <c r="Z143">
        <v>0.1</v>
      </c>
      <c r="AA143">
        <v>99318.856</v>
      </c>
      <c r="AB143">
        <v>22.110039275226686</v>
      </c>
      <c r="AC143">
        <v>3764.5078142931102</v>
      </c>
      <c r="AD143">
        <v>8155.9320699765831</v>
      </c>
      <c r="AE143">
        <v>249509991440.43759</v>
      </c>
      <c r="AF143">
        <v>3.4963868645884162</v>
      </c>
      <c r="AG143">
        <v>5.8914687613354602</v>
      </c>
      <c r="AH143">
        <v>4.5689832614612103</v>
      </c>
      <c r="AI143">
        <v>19.604444975261927</v>
      </c>
      <c r="AJ143">
        <v>24.04738731916559</v>
      </c>
      <c r="AK143">
        <v>29.428775446416093</v>
      </c>
      <c r="AL143">
        <v>26.263013851795193</v>
      </c>
      <c r="AM143">
        <v>33.236289924604151</v>
      </c>
      <c r="AN143">
        <v>39.094907356960839</v>
      </c>
      <c r="AO143">
        <v>1.1708986466623301</v>
      </c>
      <c r="AP143">
        <v>115.98399999999999</v>
      </c>
      <c r="AQ143">
        <v>12.054341542288812</v>
      </c>
      <c r="AR143">
        <v>39.806421949924065</v>
      </c>
      <c r="AS143">
        <v>111.9</v>
      </c>
      <c r="AV143">
        <v>21404</v>
      </c>
      <c r="AW143">
        <v>902135105.761868</v>
      </c>
      <c r="AX143">
        <v>9806744153.2200108</v>
      </c>
      <c r="AZ143">
        <v>49099.709042335751</v>
      </c>
      <c r="BA143">
        <v>-9129282861.9295788</v>
      </c>
      <c r="BB143">
        <v>7.1722247601644096</v>
      </c>
    </row>
    <row r="144" spans="1:54" x14ac:dyDescent="0.25">
      <c r="A144">
        <v>142</v>
      </c>
      <c r="B144">
        <v>2022</v>
      </c>
      <c r="C144" t="s">
        <v>54</v>
      </c>
      <c r="D144" t="s">
        <v>339</v>
      </c>
      <c r="E144" t="s">
        <v>340</v>
      </c>
      <c r="F144">
        <v>6730654</v>
      </c>
      <c r="G144">
        <v>1.2846601024075901</v>
      </c>
      <c r="H144">
        <v>130370</v>
      </c>
      <c r="J144">
        <v>14453732162.271629</v>
      </c>
      <c r="K144">
        <v>2150</v>
      </c>
      <c r="L144">
        <v>48478629673.386665</v>
      </c>
      <c r="M144">
        <v>7200</v>
      </c>
      <c r="O144">
        <v>74.462999999999994</v>
      </c>
      <c r="P144">
        <v>2.2400000000000002</v>
      </c>
      <c r="Q144">
        <v>94.052999999999997</v>
      </c>
      <c r="T144">
        <v>13.9</v>
      </c>
      <c r="V144">
        <v>93</v>
      </c>
      <c r="W144">
        <v>81.719520568847699</v>
      </c>
      <c r="AA144">
        <v>32075.3</v>
      </c>
      <c r="AB144">
        <v>11.503469188008724</v>
      </c>
      <c r="AC144">
        <v>608.24554671274734</v>
      </c>
      <c r="AD144">
        <v>682.400254120922</v>
      </c>
      <c r="AE144">
        <v>15634572502.229374</v>
      </c>
      <c r="AF144">
        <v>3.5502994561397543</v>
      </c>
      <c r="AG144">
        <v>8.3853261861697774</v>
      </c>
      <c r="AH144">
        <v>16.803031218394509</v>
      </c>
      <c r="AI144">
        <v>25.943610596032919</v>
      </c>
      <c r="AJ144">
        <v>49.895774735830919</v>
      </c>
      <c r="AK144">
        <v>65.558903977033935</v>
      </c>
      <c r="AL144">
        <v>21.752684444991367</v>
      </c>
      <c r="AM144">
        <v>21.505390488494537</v>
      </c>
      <c r="AO144">
        <v>0.53711396820936508</v>
      </c>
      <c r="AP144">
        <v>104.27800000000001</v>
      </c>
      <c r="AQ144">
        <v>1.2553932131571877</v>
      </c>
      <c r="AR144">
        <v>119.01188853962448</v>
      </c>
      <c r="AS144">
        <v>101</v>
      </c>
      <c r="AT144">
        <v>15131422389.299999</v>
      </c>
      <c r="AU144">
        <v>13.121724295520485</v>
      </c>
      <c r="AV144">
        <v>-7996</v>
      </c>
      <c r="AW144">
        <v>182300000</v>
      </c>
      <c r="AX144">
        <v>1287100000</v>
      </c>
      <c r="AY144">
        <v>167.50596340521886</v>
      </c>
      <c r="AZ144">
        <v>2322.8905396458313</v>
      </c>
      <c r="BA144">
        <v>-1267753433.91642</v>
      </c>
      <c r="BB144">
        <v>10.46742444659907</v>
      </c>
    </row>
    <row r="145" spans="1:54" x14ac:dyDescent="0.25">
      <c r="A145">
        <v>143</v>
      </c>
      <c r="B145">
        <v>2022</v>
      </c>
      <c r="C145" t="s">
        <v>54</v>
      </c>
      <c r="D145" t="s">
        <v>341</v>
      </c>
      <c r="E145" t="s">
        <v>342</v>
      </c>
      <c r="F145">
        <v>25311973</v>
      </c>
      <c r="G145">
        <v>3.2517064222002401</v>
      </c>
      <c r="H145">
        <v>1267000</v>
      </c>
      <c r="J145">
        <v>15121636234.978092</v>
      </c>
      <c r="K145">
        <v>600</v>
      </c>
      <c r="L145">
        <v>42423425447.095558</v>
      </c>
      <c r="M145">
        <v>1680</v>
      </c>
      <c r="O145">
        <v>60.398000000000003</v>
      </c>
      <c r="P145">
        <v>6.1349999999999998</v>
      </c>
      <c r="Q145">
        <v>146.929</v>
      </c>
      <c r="R145">
        <v>14.5747167731228</v>
      </c>
      <c r="T145">
        <v>117.1</v>
      </c>
      <c r="U145">
        <v>34.6</v>
      </c>
      <c r="V145">
        <v>65</v>
      </c>
      <c r="W145">
        <v>50.435499581079597</v>
      </c>
      <c r="Z145">
        <v>0.2</v>
      </c>
      <c r="AA145">
        <v>10548.6</v>
      </c>
      <c r="AB145">
        <v>5.5536451117062473</v>
      </c>
      <c r="AC145">
        <v>162.0458659142873</v>
      </c>
      <c r="AD145">
        <v>62.421052677323893</v>
      </c>
      <c r="AE145">
        <v>15433852712.296335</v>
      </c>
      <c r="AF145">
        <v>11.900000000027717</v>
      </c>
      <c r="AG145">
        <v>4.0189999794474289</v>
      </c>
      <c r="AH145">
        <v>41.350516357264702</v>
      </c>
      <c r="AI145">
        <v>18.88851251716822</v>
      </c>
      <c r="AJ145">
        <v>26.403074216366601</v>
      </c>
      <c r="AK145">
        <v>26.403074216366601</v>
      </c>
      <c r="AL145">
        <v>29.620810764384569</v>
      </c>
      <c r="AO145">
        <v>1.5729764923811</v>
      </c>
      <c r="AP145">
        <v>63.377099999999999</v>
      </c>
      <c r="AQ145">
        <v>13.870814780016289</v>
      </c>
      <c r="AR145">
        <v>32.195460800537106</v>
      </c>
      <c r="AS145">
        <v>103.8</v>
      </c>
      <c r="AT145">
        <v>5428667300.1000004</v>
      </c>
      <c r="AU145">
        <v>2.0216157298702844</v>
      </c>
      <c r="AV145">
        <v>995</v>
      </c>
      <c r="AW145">
        <v>563793443.99178302</v>
      </c>
      <c r="AX145">
        <v>965975261.17801499</v>
      </c>
      <c r="AY145">
        <v>80.804894143499993</v>
      </c>
      <c r="AZ145">
        <v>609.74514757487827</v>
      </c>
      <c r="BA145">
        <v>-957255589.17603302</v>
      </c>
      <c r="BB145">
        <v>4.2262179191639246</v>
      </c>
    </row>
    <row r="146" spans="1:54" x14ac:dyDescent="0.25">
      <c r="A146">
        <v>144</v>
      </c>
      <c r="B146">
        <v>2022</v>
      </c>
      <c r="C146" t="s">
        <v>54</v>
      </c>
      <c r="D146" t="s">
        <v>343</v>
      </c>
      <c r="E146" t="s">
        <v>344</v>
      </c>
      <c r="F146">
        <v>223150896</v>
      </c>
      <c r="G146">
        <v>2.09281687128387</v>
      </c>
      <c r="H146">
        <v>923770</v>
      </c>
      <c r="J146">
        <v>653664923926.34973</v>
      </c>
      <c r="K146">
        <v>2930</v>
      </c>
      <c r="L146">
        <v>1816383969496.1267</v>
      </c>
      <c r="M146">
        <v>8140</v>
      </c>
      <c r="N146">
        <v>7.5</v>
      </c>
      <c r="O146">
        <v>54.079000000000001</v>
      </c>
      <c r="P146">
        <v>4.5519999999999996</v>
      </c>
      <c r="Q146">
        <v>87.26</v>
      </c>
      <c r="S146">
        <v>50.7</v>
      </c>
      <c r="T146">
        <v>108.1</v>
      </c>
      <c r="V146">
        <v>51</v>
      </c>
      <c r="Z146">
        <v>1.3</v>
      </c>
      <c r="AA146">
        <v>213003.5</v>
      </c>
      <c r="AB146">
        <v>40.33410942870875</v>
      </c>
      <c r="AC146">
        <v>333.06072958494099</v>
      </c>
      <c r="AD146">
        <v>135.60330943058369</v>
      </c>
      <c r="AE146">
        <v>646950257577.81396</v>
      </c>
      <c r="AF146">
        <v>4.3188294952319239</v>
      </c>
      <c r="AG146">
        <v>8.0466494850652595</v>
      </c>
      <c r="AH146">
        <v>28.551552219973068</v>
      </c>
      <c r="AI146">
        <v>19.169055886079235</v>
      </c>
      <c r="AN146">
        <v>9.6422729984765443</v>
      </c>
      <c r="AO146">
        <v>0.650166691789414</v>
      </c>
      <c r="AP146">
        <v>99.5852</v>
      </c>
      <c r="AQ146">
        <v>2.3848830290138348</v>
      </c>
      <c r="AR146">
        <v>19.078128272505488</v>
      </c>
      <c r="AS146">
        <v>147.19999999999999</v>
      </c>
      <c r="AT146">
        <v>103064224482.60001</v>
      </c>
      <c r="AU146">
        <v>1.3433010597099555</v>
      </c>
      <c r="AV146">
        <v>-51680</v>
      </c>
      <c r="AW146">
        <v>82424279.489332899</v>
      </c>
      <c r="AX146">
        <v>-186792428.93092799</v>
      </c>
      <c r="AY146">
        <v>19.75763557781659</v>
      </c>
      <c r="AZ146">
        <v>2899.1604747032429</v>
      </c>
      <c r="BA146">
        <v>119729340.659017</v>
      </c>
      <c r="BB146">
        <v>18.847187784327449</v>
      </c>
    </row>
    <row r="147" spans="1:54" x14ac:dyDescent="0.25">
      <c r="A147">
        <v>145</v>
      </c>
      <c r="B147">
        <v>2022</v>
      </c>
      <c r="C147" t="s">
        <v>54</v>
      </c>
      <c r="D147" t="s">
        <v>345</v>
      </c>
      <c r="E147" t="s">
        <v>346</v>
      </c>
      <c r="F147">
        <v>1831712</v>
      </c>
      <c r="G147">
        <v>-0.294481335654044</v>
      </c>
      <c r="H147">
        <v>25710</v>
      </c>
      <c r="I147">
        <v>22.2</v>
      </c>
      <c r="J147">
        <v>13863406021.981306</v>
      </c>
      <c r="K147">
        <v>7570</v>
      </c>
      <c r="L147">
        <v>42192565003.92791</v>
      </c>
      <c r="M147">
        <v>23030</v>
      </c>
      <c r="O147">
        <v>74.424878048780499</v>
      </c>
      <c r="P147">
        <v>1.6</v>
      </c>
      <c r="Q147">
        <v>14.731</v>
      </c>
      <c r="T147">
        <v>4.0999999999999996</v>
      </c>
      <c r="V147">
        <v>71</v>
      </c>
      <c r="W147">
        <v>93.413368225097699</v>
      </c>
      <c r="X147">
        <v>91.451637268066406</v>
      </c>
      <c r="Z147">
        <v>0.1</v>
      </c>
      <c r="AA147">
        <v>10014.9</v>
      </c>
      <c r="AB147">
        <v>5.2725530127586664</v>
      </c>
      <c r="AC147">
        <v>1476.1354256409359</v>
      </c>
      <c r="AD147">
        <v>3484.1721842735101</v>
      </c>
      <c r="AE147">
        <v>13932436550.088305</v>
      </c>
      <c r="AF147">
        <v>2.7588841533296744</v>
      </c>
      <c r="AG147">
        <v>8.8736873252366308</v>
      </c>
      <c r="AH147">
        <v>7.2798878546816255</v>
      </c>
      <c r="AI147">
        <v>23.024468069463438</v>
      </c>
      <c r="AJ147">
        <v>72.78539954220399</v>
      </c>
      <c r="AK147">
        <v>93.361957837673572</v>
      </c>
      <c r="AL147">
        <v>36.01663554241965</v>
      </c>
      <c r="AM147">
        <v>28.976906503987333</v>
      </c>
      <c r="AO147">
        <v>1.5805975466654201</v>
      </c>
      <c r="AP147">
        <v>111.303</v>
      </c>
      <c r="AQ147">
        <v>4.0149849059595537</v>
      </c>
      <c r="AR147">
        <v>154.18695734066591</v>
      </c>
      <c r="AS147">
        <v>88</v>
      </c>
      <c r="AT147">
        <v>11639682525.799999</v>
      </c>
      <c r="AU147">
        <v>8.1120959973719451</v>
      </c>
      <c r="AV147">
        <v>-5296</v>
      </c>
      <c r="AW147">
        <v>22418837.699999999</v>
      </c>
      <c r="AX147">
        <v>854152514.51901495</v>
      </c>
      <c r="AY147">
        <v>122.90320517463225</v>
      </c>
      <c r="AZ147">
        <v>7606.2375253797018</v>
      </c>
      <c r="BA147">
        <v>-683826064.1586889</v>
      </c>
      <c r="BB147">
        <v>14.20471731958329</v>
      </c>
    </row>
    <row r="148" spans="1:54" x14ac:dyDescent="0.25">
      <c r="A148">
        <v>146</v>
      </c>
      <c r="B148">
        <v>2022</v>
      </c>
      <c r="C148" t="s">
        <v>54</v>
      </c>
      <c r="D148" t="s">
        <v>347</v>
      </c>
      <c r="E148" t="s">
        <v>348</v>
      </c>
      <c r="F148">
        <v>46078</v>
      </c>
      <c r="G148">
        <v>-1.9365080682824201</v>
      </c>
      <c r="H148">
        <v>460</v>
      </c>
      <c r="O148">
        <v>78.531000000000006</v>
      </c>
      <c r="P148">
        <v>2.3879999999999999</v>
      </c>
      <c r="Q148">
        <v>26.332000000000001</v>
      </c>
      <c r="AA148">
        <v>243.6</v>
      </c>
      <c r="AE148">
        <v>1096000000</v>
      </c>
      <c r="AF148">
        <v>16.642754662840758</v>
      </c>
      <c r="AG148">
        <v>2.8031899575013313</v>
      </c>
      <c r="AJ148">
        <v>22.262773722627738</v>
      </c>
      <c r="AK148">
        <v>70.894160583941598</v>
      </c>
      <c r="AR148">
        <v>50.547445255474457</v>
      </c>
      <c r="AS148">
        <v>121.4</v>
      </c>
      <c r="AV148">
        <v>-1348</v>
      </c>
      <c r="AZ148">
        <v>23785.754590042972</v>
      </c>
    </row>
    <row r="149" spans="1:54" x14ac:dyDescent="0.25">
      <c r="A149">
        <v>147</v>
      </c>
      <c r="B149">
        <v>2022</v>
      </c>
      <c r="C149" t="s">
        <v>54</v>
      </c>
      <c r="D149" t="s">
        <v>349</v>
      </c>
      <c r="E149" t="s">
        <v>350</v>
      </c>
      <c r="F149">
        <v>5457127</v>
      </c>
      <c r="G149">
        <v>0.89839522061060795</v>
      </c>
      <c r="H149">
        <v>624500</v>
      </c>
      <c r="J149">
        <v>514526888862.36017</v>
      </c>
      <c r="K149">
        <v>94290</v>
      </c>
      <c r="L149">
        <v>672675989502.63879</v>
      </c>
      <c r="M149">
        <v>123270</v>
      </c>
      <c r="N149">
        <v>9.1</v>
      </c>
      <c r="O149">
        <v>82.509756097560981</v>
      </c>
      <c r="P149">
        <v>1.41</v>
      </c>
      <c r="Q149">
        <v>1.411</v>
      </c>
      <c r="T149">
        <v>2.2999999999999998</v>
      </c>
      <c r="V149">
        <v>96</v>
      </c>
      <c r="W149">
        <v>99.278762817382798</v>
      </c>
      <c r="X149">
        <v>119.44252777099599</v>
      </c>
      <c r="Z149">
        <v>0.1</v>
      </c>
      <c r="AA149">
        <v>121956</v>
      </c>
      <c r="AB149">
        <v>161.65117517908482</v>
      </c>
      <c r="AC149">
        <v>4651.4867075865741</v>
      </c>
      <c r="AD149">
        <v>23373.47105903894</v>
      </c>
      <c r="AE149">
        <v>596297651035.79773</v>
      </c>
      <c r="AF149">
        <v>3.246228602609321</v>
      </c>
      <c r="AG149">
        <v>28.416785192293247</v>
      </c>
      <c r="AH149">
        <v>1.6344244322904358</v>
      </c>
      <c r="AI149">
        <v>49.128897129814639</v>
      </c>
      <c r="AJ149">
        <v>55.499820771493681</v>
      </c>
      <c r="AK149">
        <v>27.109659064645236</v>
      </c>
      <c r="AL149">
        <v>21.177762408412491</v>
      </c>
      <c r="AM149">
        <v>56.289629777573502</v>
      </c>
      <c r="AO149">
        <v>1.4643696162881799</v>
      </c>
      <c r="AP149">
        <v>111.657</v>
      </c>
      <c r="AQ149">
        <v>23.884946045033782</v>
      </c>
      <c r="AR149">
        <v>59.743820788355428</v>
      </c>
      <c r="AS149">
        <v>185.7</v>
      </c>
      <c r="AV149">
        <v>58040</v>
      </c>
      <c r="AW149">
        <v>4506147603.3778696</v>
      </c>
      <c r="AX149">
        <v>14278134699.4272</v>
      </c>
      <c r="AZ149">
        <v>109269.52058029761</v>
      </c>
      <c r="BA149">
        <v>12284320602.661201</v>
      </c>
      <c r="BB149">
        <v>5.7641231785227189</v>
      </c>
    </row>
    <row r="150" spans="1:54" x14ac:dyDescent="0.25">
      <c r="A150">
        <v>148</v>
      </c>
      <c r="B150">
        <v>2022</v>
      </c>
      <c r="C150" t="s">
        <v>54</v>
      </c>
      <c r="D150" t="s">
        <v>351</v>
      </c>
      <c r="E150" t="s">
        <v>352</v>
      </c>
      <c r="F150">
        <v>4730226</v>
      </c>
      <c r="G150">
        <v>4.9801366929396202</v>
      </c>
      <c r="H150">
        <v>309500</v>
      </c>
      <c r="J150">
        <v>91147305274.292145</v>
      </c>
      <c r="K150">
        <v>19270</v>
      </c>
      <c r="L150">
        <v>184454508587.07559</v>
      </c>
      <c r="M150">
        <v>38990</v>
      </c>
      <c r="O150">
        <v>77.911000000000001</v>
      </c>
      <c r="P150">
        <v>2.4489999999999998</v>
      </c>
      <c r="Q150">
        <v>5.875</v>
      </c>
      <c r="T150">
        <v>10.5</v>
      </c>
      <c r="V150">
        <v>97</v>
      </c>
      <c r="W150">
        <v>86.590458173764603</v>
      </c>
      <c r="X150">
        <v>91.964545818477703</v>
      </c>
      <c r="Z150">
        <v>0.1</v>
      </c>
      <c r="AA150">
        <v>24.111000000000001</v>
      </c>
      <c r="AB150">
        <v>54.401785153120265</v>
      </c>
      <c r="AC150">
        <v>5867.3200562885368</v>
      </c>
      <c r="AD150">
        <v>8157.5383501760807</v>
      </c>
      <c r="AE150">
        <v>109852795838.75162</v>
      </c>
      <c r="AF150">
        <v>7.98570728354278</v>
      </c>
      <c r="AG150">
        <v>16.496324999354869</v>
      </c>
      <c r="AH150">
        <v>2.1082711466343422</v>
      </c>
      <c r="AI150">
        <v>59.485207773021706</v>
      </c>
      <c r="AJ150">
        <v>63.25050191295125</v>
      </c>
      <c r="AK150">
        <v>42.494507367703321</v>
      </c>
      <c r="AL150">
        <v>27.320873896738512</v>
      </c>
      <c r="AN150">
        <v>20.270335251808781</v>
      </c>
      <c r="AO150">
        <v>5.2647590817834002</v>
      </c>
      <c r="AP150">
        <v>136.80099999999999</v>
      </c>
      <c r="AQ150">
        <v>7.6198695332247794</v>
      </c>
      <c r="AR150">
        <v>95.251103261487174</v>
      </c>
      <c r="AS150">
        <v>119.9</v>
      </c>
      <c r="AV150">
        <v>339063</v>
      </c>
      <c r="AW150">
        <v>9071113288.7560406</v>
      </c>
      <c r="AX150">
        <v>6871781534.46033</v>
      </c>
      <c r="AZ150">
        <v>23223.582940593456</v>
      </c>
      <c r="BA150">
        <v>-7176592977.8933592</v>
      </c>
      <c r="BB150">
        <v>2.5061425061424969</v>
      </c>
    </row>
    <row r="151" spans="1:54" x14ac:dyDescent="0.25">
      <c r="A151">
        <v>149</v>
      </c>
      <c r="B151">
        <v>2022</v>
      </c>
      <c r="C151" t="s">
        <v>54</v>
      </c>
      <c r="D151" t="s">
        <v>353</v>
      </c>
      <c r="E151" t="s">
        <v>354</v>
      </c>
      <c r="F151">
        <v>243700667</v>
      </c>
      <c r="G151">
        <v>1.74799739792983</v>
      </c>
      <c r="H151">
        <v>796100</v>
      </c>
      <c r="J151">
        <v>369161937787.26105</v>
      </c>
      <c r="K151">
        <v>1510</v>
      </c>
      <c r="L151">
        <v>1422577728301.6497</v>
      </c>
      <c r="M151">
        <v>5840</v>
      </c>
      <c r="O151">
        <v>67.417000000000002</v>
      </c>
      <c r="P151">
        <v>3.6619999999999999</v>
      </c>
      <c r="Q151">
        <v>42.298000000000002</v>
      </c>
      <c r="T151">
        <v>60.5</v>
      </c>
      <c r="V151">
        <v>82</v>
      </c>
      <c r="W151">
        <v>64.953074826435596</v>
      </c>
      <c r="X151">
        <v>40.417765641301202</v>
      </c>
      <c r="Z151">
        <v>0.2</v>
      </c>
      <c r="AA151">
        <v>36432.199999999997</v>
      </c>
      <c r="AB151">
        <v>2.2321522287722098</v>
      </c>
      <c r="AC151">
        <v>470.72349652402471</v>
      </c>
      <c r="AD151">
        <v>605.78824759638428</v>
      </c>
      <c r="AE151">
        <v>374890295666.69366</v>
      </c>
      <c r="AF151">
        <v>4.7781068690357955</v>
      </c>
      <c r="AG151">
        <v>13.93701123929381</v>
      </c>
      <c r="AH151">
        <v>22.326864699603053</v>
      </c>
      <c r="AI151">
        <v>20.412595554361264</v>
      </c>
      <c r="AJ151">
        <v>10.540590272104113</v>
      </c>
      <c r="AK151">
        <v>22.490763205927919</v>
      </c>
      <c r="AL151">
        <v>15.560542594311597</v>
      </c>
      <c r="AN151">
        <v>7.6592806834159477</v>
      </c>
      <c r="AO151">
        <v>3.1768320235252201</v>
      </c>
      <c r="AP151">
        <v>79.105099999999993</v>
      </c>
      <c r="AQ151">
        <v>1.4322563541997966</v>
      </c>
      <c r="AR151">
        <v>27.123134734435251</v>
      </c>
      <c r="AS151">
        <v>94.6</v>
      </c>
      <c r="AT151">
        <v>127601482349.2</v>
      </c>
      <c r="AU151">
        <v>4.5095410164631495</v>
      </c>
      <c r="AV151">
        <v>-1322625</v>
      </c>
      <c r="AW151">
        <v>208000000</v>
      </c>
      <c r="AX151">
        <v>1462000000</v>
      </c>
      <c r="AY151">
        <v>7.1134564319778404</v>
      </c>
      <c r="AZ151">
        <v>1538.3228133170996</v>
      </c>
      <c r="BA151">
        <v>-305000000</v>
      </c>
      <c r="BB151">
        <v>19.873859964665549</v>
      </c>
    </row>
    <row r="152" spans="1:54" x14ac:dyDescent="0.25">
      <c r="A152">
        <v>150</v>
      </c>
      <c r="B152">
        <v>2022</v>
      </c>
      <c r="C152" t="s">
        <v>54</v>
      </c>
      <c r="D152" t="s">
        <v>355</v>
      </c>
      <c r="E152" t="s">
        <v>356</v>
      </c>
      <c r="F152">
        <v>17759</v>
      </c>
      <c r="G152">
        <v>-0.13505150890654899</v>
      </c>
      <c r="H152">
        <v>460</v>
      </c>
      <c r="J152">
        <v>250438437.55092874</v>
      </c>
      <c r="K152">
        <v>14100</v>
      </c>
      <c r="L152">
        <v>309279764.57677561</v>
      </c>
      <c r="M152">
        <v>17420</v>
      </c>
      <c r="O152">
        <v>68.921999999999997</v>
      </c>
      <c r="P152">
        <v>1.927</v>
      </c>
      <c r="Q152">
        <v>30.030999999999999</v>
      </c>
      <c r="T152">
        <v>22.7</v>
      </c>
      <c r="V152">
        <v>96</v>
      </c>
      <c r="W152">
        <v>92.148760330578497</v>
      </c>
      <c r="X152">
        <v>89.052631578947398</v>
      </c>
      <c r="AA152">
        <v>415.7</v>
      </c>
      <c r="AE152">
        <v>243826812.74414098</v>
      </c>
      <c r="AF152">
        <v>1.5126790403814567</v>
      </c>
      <c r="AG152">
        <v>3.8254794765158522</v>
      </c>
      <c r="AH152">
        <v>3.3535187291364594</v>
      </c>
      <c r="AI152">
        <v>12.398316686310627</v>
      </c>
      <c r="AJ152">
        <v>15.668615046064835</v>
      </c>
      <c r="AK152">
        <v>89.532320105955918</v>
      </c>
      <c r="AL152">
        <v>44.882752300550948</v>
      </c>
      <c r="AP152">
        <v>135.143</v>
      </c>
      <c r="AR152">
        <v>88.177340949623002</v>
      </c>
      <c r="AS152">
        <v>94.7</v>
      </c>
      <c r="AV152">
        <v>-20</v>
      </c>
      <c r="AW152">
        <v>14742000</v>
      </c>
      <c r="AX152">
        <v>74365000</v>
      </c>
      <c r="AY152">
        <v>3135.0262161444789</v>
      </c>
      <c r="AZ152">
        <v>13729.760276149613</v>
      </c>
      <c r="BA152">
        <v>-74365000</v>
      </c>
      <c r="BB152">
        <v>12.35266383781242</v>
      </c>
    </row>
    <row r="153" spans="1:54" x14ac:dyDescent="0.25">
      <c r="A153">
        <v>151</v>
      </c>
      <c r="B153">
        <v>2022</v>
      </c>
      <c r="C153" t="s">
        <v>54</v>
      </c>
      <c r="D153" t="s">
        <v>357</v>
      </c>
      <c r="E153" t="s">
        <v>358</v>
      </c>
      <c r="F153">
        <v>4400773</v>
      </c>
      <c r="G153">
        <v>1.2661242351753801</v>
      </c>
      <c r="H153">
        <v>75320</v>
      </c>
      <c r="I153">
        <v>22.2</v>
      </c>
      <c r="J153">
        <v>74893877274.935135</v>
      </c>
      <c r="K153">
        <v>17020</v>
      </c>
      <c r="L153">
        <v>152641480983.34222</v>
      </c>
      <c r="M153">
        <v>34690</v>
      </c>
      <c r="O153">
        <v>79.323999999999998</v>
      </c>
      <c r="P153">
        <v>2.1389999999999998</v>
      </c>
      <c r="Q153">
        <v>57.771999999999998</v>
      </c>
      <c r="T153">
        <v>13.9</v>
      </c>
      <c r="V153">
        <v>87</v>
      </c>
      <c r="W153">
        <v>93.053174381670104</v>
      </c>
      <c r="Z153">
        <v>1.1000000000000001</v>
      </c>
      <c r="AA153">
        <v>41910.111000000004</v>
      </c>
      <c r="AB153">
        <v>57.965182242574592</v>
      </c>
      <c r="AC153">
        <v>1062.6992563181743</v>
      </c>
      <c r="AD153">
        <v>2546.3708307608686</v>
      </c>
      <c r="AE153">
        <v>76479304470.9375</v>
      </c>
      <c r="AF153">
        <v>11.038547526176572</v>
      </c>
      <c r="AG153">
        <v>2.1959079705397215</v>
      </c>
      <c r="AH153">
        <v>2.6037030211120857</v>
      </c>
      <c r="AI153">
        <v>26.407479622408665</v>
      </c>
      <c r="AJ153">
        <v>48.026597833341484</v>
      </c>
      <c r="AK153">
        <v>45.448670983502751</v>
      </c>
      <c r="AL153">
        <v>35.85489810856626</v>
      </c>
      <c r="AN153">
        <v>20.434286253137561</v>
      </c>
      <c r="AP153">
        <v>152.06200000000001</v>
      </c>
      <c r="AQ153">
        <v>0.23362454838842811</v>
      </c>
      <c r="AR153">
        <v>58.220979267561809</v>
      </c>
      <c r="AS153">
        <v>84.7</v>
      </c>
      <c r="AV153">
        <v>7967</v>
      </c>
      <c r="AW153">
        <v>563382434.53999996</v>
      </c>
      <c r="AX153">
        <v>2466522438.3000002</v>
      </c>
      <c r="AY153">
        <v>29.865150630390616</v>
      </c>
      <c r="AZ153">
        <v>17378.607001755714</v>
      </c>
      <c r="BA153">
        <v>-2279018281.02</v>
      </c>
      <c r="BB153">
        <v>2.859651288347111</v>
      </c>
    </row>
    <row r="154" spans="1:54" x14ac:dyDescent="0.25">
      <c r="A154">
        <v>152</v>
      </c>
      <c r="B154">
        <v>2022</v>
      </c>
      <c r="C154" t="s">
        <v>54</v>
      </c>
      <c r="D154" t="s">
        <v>359</v>
      </c>
      <c r="E154" t="s">
        <v>360</v>
      </c>
      <c r="F154">
        <v>10203169</v>
      </c>
      <c r="G154">
        <v>1.8824496137576101</v>
      </c>
      <c r="H154">
        <v>462840</v>
      </c>
      <c r="J154">
        <v>27493953540.078606</v>
      </c>
      <c r="K154">
        <v>2690</v>
      </c>
      <c r="L154">
        <v>42439401760.735847</v>
      </c>
      <c r="M154">
        <v>4160</v>
      </c>
      <c r="O154">
        <v>65.274000000000001</v>
      </c>
      <c r="P154">
        <v>3.165</v>
      </c>
      <c r="Q154">
        <v>55.029000000000003</v>
      </c>
      <c r="T154">
        <v>41.7</v>
      </c>
      <c r="V154">
        <v>41</v>
      </c>
      <c r="Z154">
        <v>1.4</v>
      </c>
      <c r="AA154">
        <v>357887</v>
      </c>
      <c r="AB154">
        <v>64.202026330092366</v>
      </c>
      <c r="AE154">
        <v>31653185952.608952</v>
      </c>
      <c r="AF154">
        <v>5.707584042381967</v>
      </c>
      <c r="AG154">
        <v>15.028820834968698</v>
      </c>
      <c r="AH154">
        <v>16.908591932501118</v>
      </c>
      <c r="AI154">
        <v>40.279199607030996</v>
      </c>
      <c r="AM154">
        <v>15.320384225044762</v>
      </c>
      <c r="AO154">
        <v>0.42097724177576701</v>
      </c>
      <c r="AP154">
        <v>49.1907</v>
      </c>
      <c r="AQ154">
        <v>11.971802937338573</v>
      </c>
      <c r="AR154">
        <v>64.742298076035866</v>
      </c>
      <c r="AS154">
        <v>193.9</v>
      </c>
      <c r="AT154">
        <v>19606599470.599998</v>
      </c>
      <c r="AU154">
        <v>14.95509421194447</v>
      </c>
      <c r="AV154">
        <v>-787</v>
      </c>
      <c r="AW154">
        <v>288836581.02574497</v>
      </c>
      <c r="AX154">
        <v>1193266177.1020999</v>
      </c>
      <c r="AY154">
        <v>65.419612840153491</v>
      </c>
      <c r="AZ154">
        <v>3102.2896859406083</v>
      </c>
      <c r="BA154">
        <v>1263272946.3847699</v>
      </c>
      <c r="BB154">
        <v>5.2532392221524056</v>
      </c>
    </row>
    <row r="155" spans="1:54" x14ac:dyDescent="0.25">
      <c r="A155">
        <v>153</v>
      </c>
      <c r="B155">
        <v>2022</v>
      </c>
      <c r="C155" t="s">
        <v>54</v>
      </c>
      <c r="D155" t="s">
        <v>361</v>
      </c>
      <c r="E155" t="s">
        <v>362</v>
      </c>
      <c r="F155">
        <v>6760464</v>
      </c>
      <c r="G155">
        <v>1.13476871860664</v>
      </c>
      <c r="H155">
        <v>406752</v>
      </c>
      <c r="I155">
        <v>25.5</v>
      </c>
      <c r="J155">
        <v>40058143821.323555</v>
      </c>
      <c r="K155">
        <v>5930</v>
      </c>
      <c r="L155">
        <v>106972001907.50668</v>
      </c>
      <c r="M155">
        <v>15820</v>
      </c>
      <c r="N155">
        <v>5</v>
      </c>
      <c r="O155">
        <v>72.319000000000003</v>
      </c>
      <c r="P155">
        <v>2.444</v>
      </c>
      <c r="Q155">
        <v>71.036000000000001</v>
      </c>
      <c r="T155">
        <v>17.600000000000001</v>
      </c>
      <c r="V155">
        <v>54</v>
      </c>
      <c r="W155">
        <v>87.148745461087998</v>
      </c>
      <c r="X155">
        <v>82.307147214329106</v>
      </c>
      <c r="Z155">
        <v>0.5</v>
      </c>
      <c r="AA155">
        <v>155435.889</v>
      </c>
      <c r="AB155">
        <v>17.421426893806114</v>
      </c>
      <c r="AC155">
        <v>1044.9850676592907</v>
      </c>
      <c r="AD155">
        <v>2213.0137813025854</v>
      </c>
      <c r="AE155">
        <v>41952910858.084557</v>
      </c>
      <c r="AF155">
        <v>0.1760383661492142</v>
      </c>
      <c r="AG155">
        <v>8.0544605027104836</v>
      </c>
      <c r="AH155">
        <v>10.897480451264528</v>
      </c>
      <c r="AI155">
        <v>34.253965760077584</v>
      </c>
      <c r="AJ155">
        <v>34.369384585053197</v>
      </c>
      <c r="AK155">
        <v>39.368520436803408</v>
      </c>
      <c r="AL155">
        <v>27.68643514265548</v>
      </c>
      <c r="AM155">
        <v>17.395738650768138</v>
      </c>
      <c r="AO155">
        <v>0.87112714526565804</v>
      </c>
      <c r="AP155">
        <v>128.08799999999999</v>
      </c>
      <c r="AQ155">
        <v>10.561993933889122</v>
      </c>
      <c r="AR155">
        <v>61.521356854851639</v>
      </c>
      <c r="AS155">
        <v>117.1</v>
      </c>
      <c r="AT155">
        <v>25239775496.5</v>
      </c>
      <c r="AU155">
        <v>5.2539050786690122</v>
      </c>
      <c r="AV155">
        <v>-12500</v>
      </c>
      <c r="AW155">
        <v>64760434.828809798</v>
      </c>
      <c r="AX155">
        <v>744590617.09781599</v>
      </c>
      <c r="AY155">
        <v>14.522080511402976</v>
      </c>
      <c r="AZ155">
        <v>6205.6259537931946</v>
      </c>
      <c r="BA155">
        <v>-803323260.59423995</v>
      </c>
      <c r="BB155">
        <v>9.7655666716440219</v>
      </c>
    </row>
    <row r="156" spans="1:54" x14ac:dyDescent="0.25">
      <c r="A156">
        <v>154</v>
      </c>
      <c r="B156">
        <v>2022</v>
      </c>
      <c r="C156" t="s">
        <v>54</v>
      </c>
      <c r="D156" t="s">
        <v>363</v>
      </c>
      <c r="E156" t="s">
        <v>364</v>
      </c>
      <c r="F156">
        <v>33475438</v>
      </c>
      <c r="G156">
        <v>0.95918390935528697</v>
      </c>
      <c r="H156">
        <v>1285220</v>
      </c>
      <c r="I156">
        <v>27.5</v>
      </c>
      <c r="J156">
        <v>231716014606.043</v>
      </c>
      <c r="K156">
        <v>6920</v>
      </c>
      <c r="L156">
        <v>520088236906.44171</v>
      </c>
      <c r="M156">
        <v>15540</v>
      </c>
      <c r="N156">
        <v>5.7</v>
      </c>
      <c r="O156">
        <v>76.834000000000003</v>
      </c>
      <c r="P156">
        <v>2.004</v>
      </c>
      <c r="Q156">
        <v>43.933</v>
      </c>
      <c r="R156">
        <v>77.95</v>
      </c>
      <c r="T156">
        <v>16.100000000000001</v>
      </c>
      <c r="U156">
        <v>2.4</v>
      </c>
      <c r="V156">
        <v>74</v>
      </c>
      <c r="X156">
        <v>103.591468811035</v>
      </c>
      <c r="Z156">
        <v>0.4</v>
      </c>
      <c r="AA156">
        <v>719847.01099999994</v>
      </c>
      <c r="AB156">
        <v>8.6113681270593343</v>
      </c>
      <c r="AC156">
        <v>826.70564668784618</v>
      </c>
      <c r="AD156">
        <v>1588.448222843268</v>
      </c>
      <c r="AE156">
        <v>246065570308.15494</v>
      </c>
      <c r="AF156">
        <v>2.8090335533015036</v>
      </c>
      <c r="AG156">
        <v>4.5133941373038766</v>
      </c>
      <c r="AH156">
        <v>7.1741622920697763</v>
      </c>
      <c r="AI156">
        <v>34.931429915672894</v>
      </c>
      <c r="AJ156">
        <v>28.831860770197498</v>
      </c>
      <c r="AK156">
        <v>28.465115194774643</v>
      </c>
      <c r="AL156">
        <v>22.366393770941372</v>
      </c>
      <c r="AN156">
        <v>28.982083885482346</v>
      </c>
      <c r="AO156">
        <v>1.1351335066849999</v>
      </c>
      <c r="AP156">
        <v>124.119</v>
      </c>
      <c r="AQ156">
        <v>4.5894661643953869</v>
      </c>
      <c r="AR156">
        <v>50.348368463271399</v>
      </c>
      <c r="AS156">
        <v>114.8</v>
      </c>
      <c r="AT156">
        <v>91689317833.100006</v>
      </c>
      <c r="AU156">
        <v>3.0844238777152566</v>
      </c>
      <c r="AV156">
        <v>33982</v>
      </c>
      <c r="AW156">
        <v>187003202.042555</v>
      </c>
      <c r="AX156">
        <v>11201435821.3347</v>
      </c>
      <c r="AY156">
        <v>24.810966876622732</v>
      </c>
      <c r="AZ156">
        <v>7350.6303430041735</v>
      </c>
      <c r="BA156">
        <v>-11788738161.829201</v>
      </c>
      <c r="BB156">
        <v>8.3337063009623087</v>
      </c>
    </row>
    <row r="157" spans="1:54" x14ac:dyDescent="0.25">
      <c r="A157">
        <v>155</v>
      </c>
      <c r="B157">
        <v>2022</v>
      </c>
      <c r="C157" t="s">
        <v>54</v>
      </c>
      <c r="D157" t="s">
        <v>365</v>
      </c>
      <c r="E157" t="s">
        <v>366</v>
      </c>
      <c r="F157">
        <v>113964338</v>
      </c>
      <c r="G157">
        <v>0.76047921601536395</v>
      </c>
      <c r="H157">
        <v>300000</v>
      </c>
      <c r="J157">
        <v>456996881689.53308</v>
      </c>
      <c r="K157">
        <v>4010</v>
      </c>
      <c r="L157">
        <v>1222457046934.8372</v>
      </c>
      <c r="M157">
        <v>10730</v>
      </c>
      <c r="O157">
        <v>69.471999999999994</v>
      </c>
      <c r="P157">
        <v>1.929</v>
      </c>
      <c r="Q157">
        <v>32.161000000000001</v>
      </c>
      <c r="R157">
        <v>58.3</v>
      </c>
      <c r="T157">
        <v>27.3</v>
      </c>
      <c r="V157">
        <v>76</v>
      </c>
      <c r="W157">
        <v>86.331734086013796</v>
      </c>
      <c r="X157">
        <v>92.291271176650994</v>
      </c>
      <c r="Z157">
        <v>0.3</v>
      </c>
      <c r="AA157">
        <v>72583.7</v>
      </c>
      <c r="AB157">
        <v>4.4787377583407251</v>
      </c>
      <c r="AC157">
        <v>550.79380399486547</v>
      </c>
      <c r="AD157">
        <v>884.68025848577292</v>
      </c>
      <c r="AE157">
        <v>404353369604.6311</v>
      </c>
      <c r="AF157">
        <v>7.5809821278556342</v>
      </c>
      <c r="AG157">
        <v>5.4886482020200873</v>
      </c>
      <c r="AH157">
        <v>9.5517680441432606</v>
      </c>
      <c r="AI157">
        <v>29.221239936433847</v>
      </c>
      <c r="AJ157">
        <v>28.387401545793896</v>
      </c>
      <c r="AK157">
        <v>44.042282064966017</v>
      </c>
      <c r="AL157">
        <v>24.685861676310232</v>
      </c>
      <c r="AM157">
        <v>16.082742678948538</v>
      </c>
      <c r="AN157">
        <v>59.003121510593573</v>
      </c>
      <c r="AO157">
        <v>1.3163013553826299</v>
      </c>
      <c r="AP157">
        <v>147.429</v>
      </c>
      <c r="AQ157">
        <v>66.611092196377825</v>
      </c>
      <c r="AR157">
        <v>55.594194805351108</v>
      </c>
      <c r="AS157">
        <v>88.1</v>
      </c>
      <c r="AT157">
        <v>110775513064.5</v>
      </c>
      <c r="AU157">
        <v>2.2438418035914611</v>
      </c>
      <c r="AV157">
        <v>-221754</v>
      </c>
      <c r="AW157">
        <v>297656730.46469003</v>
      </c>
      <c r="AX157">
        <v>9492234668.1091003</v>
      </c>
      <c r="AY157">
        <v>14.158884599112488</v>
      </c>
      <c r="AZ157">
        <v>3548.0693057211556</v>
      </c>
      <c r="BA157">
        <v>-5630950417.4081106</v>
      </c>
      <c r="BB157">
        <v>5.821158112139547</v>
      </c>
    </row>
    <row r="158" spans="1:54" x14ac:dyDescent="0.25">
      <c r="A158">
        <v>156</v>
      </c>
      <c r="B158">
        <v>2022</v>
      </c>
      <c r="C158" t="s">
        <v>54</v>
      </c>
      <c r="D158" t="s">
        <v>367</v>
      </c>
      <c r="E158" t="s">
        <v>368</v>
      </c>
      <c r="F158">
        <v>36821749</v>
      </c>
      <c r="G158">
        <v>-0.433070695882457</v>
      </c>
      <c r="H158">
        <v>312720</v>
      </c>
      <c r="I158">
        <v>11.7</v>
      </c>
      <c r="J158">
        <v>703555007545.92725</v>
      </c>
      <c r="K158">
        <v>19110</v>
      </c>
      <c r="L158">
        <v>1629924749580.1997</v>
      </c>
      <c r="M158">
        <v>44270</v>
      </c>
      <c r="N158">
        <v>8.5</v>
      </c>
      <c r="O158">
        <v>77.156097560975624</v>
      </c>
      <c r="P158">
        <v>1.29</v>
      </c>
      <c r="Q158">
        <v>5.984</v>
      </c>
      <c r="T158">
        <v>4.4000000000000004</v>
      </c>
      <c r="V158">
        <v>91</v>
      </c>
      <c r="W158">
        <v>98.253349304199205</v>
      </c>
      <c r="X158">
        <v>108.48217010498</v>
      </c>
      <c r="AA158">
        <v>95070</v>
      </c>
      <c r="AB158">
        <v>67.890300573759504</v>
      </c>
      <c r="AC158">
        <v>2798.0077462339718</v>
      </c>
      <c r="AD158">
        <v>4552.8255596984272</v>
      </c>
      <c r="AE158">
        <v>695607470875.27625</v>
      </c>
      <c r="AF158">
        <v>5.2554569738603618</v>
      </c>
      <c r="AG158">
        <v>10.689577427514024</v>
      </c>
      <c r="AH158">
        <v>2.8060693035780511</v>
      </c>
      <c r="AI158">
        <v>29.181482496734766</v>
      </c>
      <c r="AJ158">
        <v>62.352516245545573</v>
      </c>
      <c r="AK158">
        <v>60.668816614799169</v>
      </c>
      <c r="AL158">
        <v>22.059467565344988</v>
      </c>
      <c r="AM158">
        <v>33.809181353499845</v>
      </c>
      <c r="AN158">
        <v>21.227092316044896</v>
      </c>
      <c r="AO158">
        <v>2.20458906428882</v>
      </c>
      <c r="AP158">
        <v>137.00200000000001</v>
      </c>
      <c r="AQ158">
        <v>11.632587777275518</v>
      </c>
      <c r="AR158">
        <v>106.63039588500818</v>
      </c>
      <c r="AS158">
        <v>96.5</v>
      </c>
      <c r="AV158">
        <v>967744</v>
      </c>
      <c r="AW158">
        <v>10940000000</v>
      </c>
      <c r="AX158">
        <v>41780000000</v>
      </c>
      <c r="AZ158">
        <v>18891.212116927858</v>
      </c>
      <c r="BA158">
        <v>-29177000000</v>
      </c>
      <c r="BB158">
        <v>14.42945075757576</v>
      </c>
    </row>
    <row r="159" spans="1:54" x14ac:dyDescent="0.25">
      <c r="A159">
        <v>157</v>
      </c>
      <c r="B159">
        <v>2022</v>
      </c>
      <c r="C159" t="s">
        <v>54</v>
      </c>
      <c r="D159" t="s">
        <v>369</v>
      </c>
      <c r="E159" t="s">
        <v>370</v>
      </c>
      <c r="F159">
        <v>10434332</v>
      </c>
      <c r="G159">
        <v>0.69725644802304299</v>
      </c>
      <c r="H159">
        <v>92230</v>
      </c>
      <c r="J159">
        <v>270048202733.40079</v>
      </c>
      <c r="K159">
        <v>25880</v>
      </c>
      <c r="L159">
        <v>456525925107.14978</v>
      </c>
      <c r="M159">
        <v>43750</v>
      </c>
      <c r="N159">
        <v>6.9</v>
      </c>
      <c r="O159">
        <v>81.631707317073193</v>
      </c>
      <c r="P159">
        <v>1.43</v>
      </c>
      <c r="Q159">
        <v>6.6420000000000003</v>
      </c>
      <c r="T159">
        <v>3.2</v>
      </c>
      <c r="V159">
        <v>98</v>
      </c>
      <c r="W159">
        <v>100.011848449707</v>
      </c>
      <c r="X159">
        <v>120.926139831543</v>
      </c>
      <c r="Z159">
        <v>0.5</v>
      </c>
      <c r="AA159">
        <v>33120</v>
      </c>
      <c r="AB159">
        <v>37.523693209779992</v>
      </c>
      <c r="AC159">
        <v>1949.8649610393172</v>
      </c>
      <c r="AD159">
        <v>5085.2320972727339</v>
      </c>
      <c r="AE159">
        <v>256898677175.02435</v>
      </c>
      <c r="AF159">
        <v>6.985841375802778</v>
      </c>
      <c r="AG159">
        <v>5.3275003610224303</v>
      </c>
      <c r="AH159">
        <v>1.9054367619393517</v>
      </c>
      <c r="AI159">
        <v>18.403242855589774</v>
      </c>
      <c r="AJ159">
        <v>49.481682200450614</v>
      </c>
      <c r="AK159">
        <v>51.882464278983889</v>
      </c>
      <c r="AL159">
        <v>21.373517717784186</v>
      </c>
      <c r="AM159">
        <v>38.083132375175197</v>
      </c>
      <c r="AO159">
        <v>1.38999857860246</v>
      </c>
      <c r="AP159">
        <v>122.801</v>
      </c>
      <c r="AQ159">
        <v>6.99049160072585</v>
      </c>
      <c r="AR159">
        <v>76.926437369453637</v>
      </c>
      <c r="AS159">
        <v>93.4</v>
      </c>
      <c r="AV159">
        <v>68696</v>
      </c>
      <c r="AW159">
        <v>303023555.58712202</v>
      </c>
      <c r="AX159">
        <v>13059930355.749399</v>
      </c>
      <c r="AZ159">
        <v>24620.519758718081</v>
      </c>
      <c r="BA159">
        <v>-7632956381.93997</v>
      </c>
      <c r="BB159">
        <v>7.8326912423332313</v>
      </c>
    </row>
    <row r="160" spans="1:54" x14ac:dyDescent="0.25">
      <c r="A160">
        <v>158</v>
      </c>
      <c r="B160">
        <v>2022</v>
      </c>
      <c r="C160" t="s">
        <v>54</v>
      </c>
      <c r="D160" t="s">
        <v>371</v>
      </c>
      <c r="E160" t="s">
        <v>372</v>
      </c>
      <c r="F160">
        <v>3220137</v>
      </c>
      <c r="G160">
        <v>-1.31345396519316</v>
      </c>
      <c r="H160">
        <v>8870</v>
      </c>
      <c r="J160">
        <v>79442489275.419388</v>
      </c>
      <c r="K160">
        <v>24670</v>
      </c>
      <c r="L160">
        <v>100828269414.01135</v>
      </c>
      <c r="M160">
        <v>31310</v>
      </c>
      <c r="O160">
        <v>79.427000000000007</v>
      </c>
      <c r="P160">
        <v>0.91400000000000003</v>
      </c>
      <c r="Q160">
        <v>13.956</v>
      </c>
      <c r="AA160">
        <v>4973.1000000000004</v>
      </c>
      <c r="AB160">
        <v>109.09360784094065</v>
      </c>
      <c r="AE160">
        <v>113843700000</v>
      </c>
      <c r="AF160">
        <v>2.957095654995868</v>
      </c>
      <c r="AG160">
        <v>3.8968860397728093</v>
      </c>
      <c r="AH160">
        <v>0.66398052768840088</v>
      </c>
      <c r="AI160">
        <v>48.223397517824878</v>
      </c>
      <c r="AJ160">
        <v>52.446292592387636</v>
      </c>
      <c r="AK160">
        <v>45.810176584211511</v>
      </c>
      <c r="AL160">
        <v>14.815224733560136</v>
      </c>
      <c r="AP160">
        <v>120.21599999999999</v>
      </c>
      <c r="AV160">
        <v>16704</v>
      </c>
      <c r="AZ160">
        <v>35353.682157001393</v>
      </c>
    </row>
    <row r="161" spans="1:54" x14ac:dyDescent="0.25">
      <c r="A161">
        <v>159</v>
      </c>
      <c r="B161">
        <v>2022</v>
      </c>
      <c r="C161" t="s">
        <v>54</v>
      </c>
      <c r="D161" t="s">
        <v>373</v>
      </c>
      <c r="E161" t="s">
        <v>374</v>
      </c>
      <c r="F161">
        <v>2657333</v>
      </c>
      <c r="G161">
        <v>5.9070182495709904</v>
      </c>
      <c r="H161">
        <v>11490</v>
      </c>
      <c r="J161">
        <v>188812187348.18555</v>
      </c>
      <c r="K161">
        <v>71050</v>
      </c>
      <c r="L161">
        <v>315154467793.15503</v>
      </c>
      <c r="M161">
        <v>118600</v>
      </c>
      <c r="O161">
        <v>81.856999999999999</v>
      </c>
      <c r="P161">
        <v>1.7390000000000001</v>
      </c>
      <c r="Q161">
        <v>5.63</v>
      </c>
      <c r="T161">
        <v>6.1</v>
      </c>
      <c r="U161">
        <v>2.1</v>
      </c>
      <c r="V161">
        <v>99</v>
      </c>
      <c r="W161">
        <v>94.647844795047902</v>
      </c>
      <c r="X161">
        <v>102.968360766419</v>
      </c>
      <c r="Z161">
        <v>0.1</v>
      </c>
      <c r="AA161">
        <v>0</v>
      </c>
      <c r="AB161">
        <v>683.63224321453015</v>
      </c>
      <c r="AC161">
        <v>16683.663609725994</v>
      </c>
      <c r="AD161">
        <v>19381.086224421251</v>
      </c>
      <c r="AE161">
        <v>235709340659.34064</v>
      </c>
      <c r="AF161">
        <v>4.1849701854469714</v>
      </c>
      <c r="AG161">
        <v>25.876879748737295</v>
      </c>
      <c r="AH161">
        <v>0.25653218832096708</v>
      </c>
      <c r="AI161">
        <v>65.348923403987484</v>
      </c>
      <c r="AJ161">
        <v>68.598408824427551</v>
      </c>
      <c r="AK161">
        <v>31.615232021184593</v>
      </c>
      <c r="AL161">
        <v>30.643232538677967</v>
      </c>
      <c r="AN161">
        <v>70.38636209151241</v>
      </c>
      <c r="AO161">
        <v>6.5002056527230305</v>
      </c>
      <c r="AP161">
        <v>162.249</v>
      </c>
      <c r="AQ161">
        <v>2.8596994127339621</v>
      </c>
      <c r="AR161">
        <v>69.765160574464275</v>
      </c>
      <c r="AS161">
        <v>237.7</v>
      </c>
      <c r="AV161">
        <v>80004</v>
      </c>
      <c r="AW161">
        <v>12285714285.714199</v>
      </c>
      <c r="AX161">
        <v>76098901.098900795</v>
      </c>
      <c r="AZ161">
        <v>88701.468976353601</v>
      </c>
      <c r="BA161">
        <v>2307692307.6922998</v>
      </c>
      <c r="BB161">
        <v>4.9952755374076059</v>
      </c>
    </row>
    <row r="162" spans="1:54" x14ac:dyDescent="0.25">
      <c r="A162">
        <v>160</v>
      </c>
      <c r="B162">
        <v>2022</v>
      </c>
      <c r="C162" t="s">
        <v>54</v>
      </c>
      <c r="D162" t="s">
        <v>375</v>
      </c>
      <c r="E162" t="s">
        <v>376</v>
      </c>
      <c r="F162">
        <v>19048502</v>
      </c>
      <c r="G162">
        <v>-0.38541267996078499</v>
      </c>
      <c r="H162">
        <v>238400</v>
      </c>
      <c r="I162">
        <v>21.1</v>
      </c>
      <c r="J162">
        <v>293223261443.90857</v>
      </c>
      <c r="K162">
        <v>15390</v>
      </c>
      <c r="L162">
        <v>777127116799.43079</v>
      </c>
      <c r="M162">
        <v>40800</v>
      </c>
      <c r="N162">
        <v>5.9</v>
      </c>
      <c r="O162">
        <v>75.153658536585368</v>
      </c>
      <c r="P162">
        <v>1.71</v>
      </c>
      <c r="Q162">
        <v>33.514000000000003</v>
      </c>
      <c r="T162">
        <v>6.6</v>
      </c>
      <c r="V162">
        <v>83</v>
      </c>
      <c r="W162">
        <v>82.864433288574205</v>
      </c>
      <c r="X162">
        <v>83.033470153808594</v>
      </c>
      <c r="Z162">
        <v>0.2</v>
      </c>
      <c r="AA162">
        <v>69290.5</v>
      </c>
      <c r="AB162">
        <v>28.221750596147416</v>
      </c>
      <c r="AC162">
        <v>1655.2381897484483</v>
      </c>
      <c r="AD162">
        <v>2717.5365285942171</v>
      </c>
      <c r="AE162">
        <v>295319437556.9881</v>
      </c>
      <c r="AF162">
        <v>4.1877130510410865</v>
      </c>
      <c r="AG162">
        <v>12.051275290787999</v>
      </c>
      <c r="AH162">
        <v>3.8180329334626992</v>
      </c>
      <c r="AI162">
        <v>27.599177176216806</v>
      </c>
      <c r="AJ162">
        <v>43.513105394216282</v>
      </c>
      <c r="AK162">
        <v>50.436545544128407</v>
      </c>
      <c r="AL162">
        <v>27.061165343466531</v>
      </c>
      <c r="AM162">
        <v>31.721962868928433</v>
      </c>
      <c r="AN162">
        <v>9.8144335637937612</v>
      </c>
      <c r="AO162">
        <v>1.75011695275109</v>
      </c>
      <c r="AP162">
        <v>121.142</v>
      </c>
      <c r="AQ162">
        <v>11.857337556020038</v>
      </c>
      <c r="AR162">
        <v>77.599700817450383</v>
      </c>
      <c r="AS162">
        <v>94.8</v>
      </c>
      <c r="AV162">
        <v>89076</v>
      </c>
      <c r="AW162">
        <v>967442042.84855402</v>
      </c>
      <c r="AX162">
        <v>11477511658.9305</v>
      </c>
      <c r="AZ162">
        <v>15503.551804597973</v>
      </c>
      <c r="BA162">
        <v>-9303199865.4236794</v>
      </c>
      <c r="BB162">
        <v>13.795488743252079</v>
      </c>
    </row>
    <row r="163" spans="1:54" x14ac:dyDescent="0.25">
      <c r="A163">
        <v>161</v>
      </c>
      <c r="B163">
        <v>2022</v>
      </c>
      <c r="C163" t="s">
        <v>54</v>
      </c>
      <c r="D163" t="s">
        <v>377</v>
      </c>
      <c r="E163" t="s">
        <v>378</v>
      </c>
      <c r="F163">
        <v>144236933</v>
      </c>
      <c r="G163">
        <v>-0.35284311036308202</v>
      </c>
      <c r="H163">
        <v>17125190</v>
      </c>
      <c r="J163">
        <v>1891217090352.0344</v>
      </c>
      <c r="K163">
        <v>12890</v>
      </c>
      <c r="L163">
        <v>5882773544979.7646</v>
      </c>
      <c r="M163">
        <v>40100</v>
      </c>
      <c r="N163">
        <v>7.5</v>
      </c>
      <c r="O163">
        <v>72.545609756097576</v>
      </c>
      <c r="P163">
        <v>1.4159999999999999</v>
      </c>
      <c r="Q163">
        <v>13.163</v>
      </c>
      <c r="T163">
        <v>4.7</v>
      </c>
      <c r="V163">
        <v>97</v>
      </c>
      <c r="X163">
        <v>92.772944362506905</v>
      </c>
      <c r="AA163">
        <v>8153120</v>
      </c>
      <c r="AB163">
        <v>22.903510597925969</v>
      </c>
      <c r="AC163">
        <v>5601.0843508517482</v>
      </c>
      <c r="AD163">
        <v>7184.4220370381836</v>
      </c>
      <c r="AE163">
        <v>2291612121334.6431</v>
      </c>
      <c r="AF163">
        <v>-1.4358821385984157</v>
      </c>
      <c r="AG163">
        <v>18.184689261661816</v>
      </c>
      <c r="AH163">
        <v>3.4202935361280788</v>
      </c>
      <c r="AI163">
        <v>32.230143568513775</v>
      </c>
      <c r="AJ163">
        <v>27.720303352680308</v>
      </c>
      <c r="AK163">
        <v>15.062483076800801</v>
      </c>
      <c r="AL163">
        <v>23.202871025461342</v>
      </c>
      <c r="AM163">
        <v>27.003501783690563</v>
      </c>
      <c r="AN163">
        <v>23.132375896635828</v>
      </c>
      <c r="AO163">
        <v>4.60728884010235</v>
      </c>
      <c r="AP163">
        <v>168.476</v>
      </c>
      <c r="AR163">
        <v>37.902836693590729</v>
      </c>
      <c r="AS163">
        <v>135.5</v>
      </c>
      <c r="AT163">
        <v>376117000821.90002</v>
      </c>
      <c r="AU163">
        <v>4.5368900581262093</v>
      </c>
      <c r="AV163">
        <v>765629</v>
      </c>
      <c r="AW163">
        <v>5786942080.6965303</v>
      </c>
      <c r="AX163">
        <v>-39800944226.980499</v>
      </c>
      <c r="AZ163">
        <v>15619.6142578125</v>
      </c>
      <c r="BA163">
        <v>26714525588.346802</v>
      </c>
      <c r="BB163">
        <v>13.743679739823159</v>
      </c>
    </row>
    <row r="164" spans="1:54" x14ac:dyDescent="0.25">
      <c r="A164">
        <v>162</v>
      </c>
      <c r="B164">
        <v>2022</v>
      </c>
      <c r="C164" t="s">
        <v>54</v>
      </c>
      <c r="D164" t="s">
        <v>379</v>
      </c>
      <c r="E164" t="s">
        <v>380</v>
      </c>
      <c r="F164">
        <v>13651030</v>
      </c>
      <c r="G164">
        <v>2.1904661923297599</v>
      </c>
      <c r="H164">
        <v>26340</v>
      </c>
      <c r="J164">
        <v>12779808953.661703</v>
      </c>
      <c r="K164">
        <v>940</v>
      </c>
      <c r="L164">
        <v>41411102544.388252</v>
      </c>
      <c r="M164">
        <v>3030</v>
      </c>
      <c r="O164">
        <v>67.528000000000006</v>
      </c>
      <c r="P164">
        <v>3.778</v>
      </c>
      <c r="Q164">
        <v>31.056999999999999</v>
      </c>
      <c r="T164">
        <v>40.799999999999997</v>
      </c>
      <c r="V164">
        <v>99</v>
      </c>
      <c r="X164">
        <v>44.1547093958443</v>
      </c>
      <c r="Z164">
        <v>2.2999999999999998</v>
      </c>
      <c r="AA164">
        <v>2780</v>
      </c>
      <c r="AB164">
        <v>21.224301135964076</v>
      </c>
      <c r="AC164">
        <v>372.9914024293434</v>
      </c>
      <c r="AD164">
        <v>68.126727433754084</v>
      </c>
      <c r="AE164">
        <v>13316161002.391228</v>
      </c>
      <c r="AF164">
        <v>8.1612072087291239</v>
      </c>
      <c r="AG164">
        <v>15.81131422368027</v>
      </c>
      <c r="AH164">
        <v>24.886975847495968</v>
      </c>
      <c r="AI164">
        <v>21.269531227780522</v>
      </c>
      <c r="AJ164">
        <v>22.478061514691134</v>
      </c>
      <c r="AK164">
        <v>38.667017988673997</v>
      </c>
      <c r="AL164">
        <v>25.741826376841665</v>
      </c>
      <c r="AM164">
        <v>19.70666635364622</v>
      </c>
      <c r="AN164">
        <v>25.868341479060135</v>
      </c>
      <c r="AO164">
        <v>1.3334657434402299</v>
      </c>
      <c r="AP164">
        <v>80.595200000000006</v>
      </c>
      <c r="AQ164">
        <v>4.7847297958567205</v>
      </c>
      <c r="AR164">
        <v>49.391112039115072</v>
      </c>
      <c r="AS164">
        <v>113.8</v>
      </c>
      <c r="AT164">
        <v>9690063879.8999996</v>
      </c>
      <c r="AU164">
        <v>2.6755355362791051</v>
      </c>
      <c r="AV164">
        <v>-9001</v>
      </c>
      <c r="AW164">
        <v>91742926.285184503</v>
      </c>
      <c r="AX164">
        <v>305101863.38</v>
      </c>
      <c r="AY164">
        <v>78.784816712319881</v>
      </c>
      <c r="AZ164">
        <v>975.46932373536856</v>
      </c>
      <c r="BA164">
        <v>-305101863.38</v>
      </c>
      <c r="BB164">
        <v>17.689209558815332</v>
      </c>
    </row>
    <row r="165" spans="1:54" x14ac:dyDescent="0.25">
      <c r="A165">
        <v>163</v>
      </c>
      <c r="B165">
        <v>2022</v>
      </c>
      <c r="C165" t="s">
        <v>54</v>
      </c>
      <c r="D165" t="s">
        <v>381</v>
      </c>
      <c r="E165" t="s">
        <v>382</v>
      </c>
      <c r="F165">
        <v>215261</v>
      </c>
      <c r="G165">
        <v>0.69084742414779299</v>
      </c>
      <c r="H165">
        <v>2840</v>
      </c>
      <c r="J165">
        <v>888483171.97672188</v>
      </c>
      <c r="K165">
        <v>4130</v>
      </c>
      <c r="L165">
        <v>1451411143.9381962</v>
      </c>
      <c r="M165">
        <v>6740</v>
      </c>
      <c r="O165">
        <v>71.55</v>
      </c>
      <c r="P165">
        <v>3.883</v>
      </c>
      <c r="Q165">
        <v>43.866</v>
      </c>
      <c r="T165">
        <v>16.2</v>
      </c>
      <c r="V165">
        <v>82</v>
      </c>
      <c r="W165">
        <v>102.664006356676</v>
      </c>
      <c r="AA165">
        <v>1607.1</v>
      </c>
      <c r="AE165">
        <v>889554711.84234059</v>
      </c>
      <c r="AF165">
        <v>2.2670505524902609</v>
      </c>
      <c r="AG165">
        <v>2.5432265612637082</v>
      </c>
      <c r="AH165">
        <v>9.3567373585657556</v>
      </c>
      <c r="AI165">
        <v>10.849058293019294</v>
      </c>
      <c r="AJ165">
        <v>11.485773404129503</v>
      </c>
      <c r="AK165">
        <v>49.362006250015369</v>
      </c>
      <c r="AL165">
        <v>32.187971052475937</v>
      </c>
      <c r="AM165">
        <v>31.068116162766522</v>
      </c>
      <c r="AP165">
        <v>62.398699999999998</v>
      </c>
      <c r="AQ165">
        <v>0.55436926924678187</v>
      </c>
      <c r="AR165">
        <v>54.296828915634379</v>
      </c>
      <c r="AS165">
        <v>94.3</v>
      </c>
      <c r="AT165">
        <v>470703052.19999999</v>
      </c>
      <c r="AU165">
        <v>4.5264334210252191</v>
      </c>
      <c r="AV165">
        <v>-2837</v>
      </c>
      <c r="AW165">
        <v>27028757.5144266</v>
      </c>
      <c r="AX165">
        <v>4800455.4647741998</v>
      </c>
      <c r="AY165">
        <v>594.44038278087066</v>
      </c>
      <c r="AZ165">
        <v>4132.4471773444357</v>
      </c>
      <c r="BA165">
        <v>-4889535.5741943792</v>
      </c>
      <c r="BB165">
        <v>10.96188222868439</v>
      </c>
    </row>
    <row r="166" spans="1:54" x14ac:dyDescent="0.25">
      <c r="A166">
        <v>164</v>
      </c>
      <c r="B166">
        <v>2022</v>
      </c>
      <c r="C166" t="s">
        <v>54</v>
      </c>
      <c r="D166" t="s">
        <v>383</v>
      </c>
      <c r="E166" t="s">
        <v>384</v>
      </c>
      <c r="F166">
        <v>33755</v>
      </c>
      <c r="G166">
        <v>-1.4616402670111901</v>
      </c>
      <c r="H166">
        <v>60</v>
      </c>
      <c r="J166">
        <v>1818836675.1420448</v>
      </c>
      <c r="K166">
        <v>53880</v>
      </c>
      <c r="L166">
        <v>2341926529.4515758</v>
      </c>
      <c r="M166">
        <v>69380</v>
      </c>
      <c r="O166">
        <v>85.707999999999998</v>
      </c>
      <c r="P166">
        <v>1.1359999999999999</v>
      </c>
      <c r="Q166">
        <v>1.1579999999999999</v>
      </c>
      <c r="T166">
        <v>1.5</v>
      </c>
      <c r="V166">
        <v>91</v>
      </c>
      <c r="W166">
        <v>93.428571428571402</v>
      </c>
      <c r="X166">
        <v>61.6779239246356</v>
      </c>
      <c r="AA166">
        <v>10</v>
      </c>
      <c r="AE166">
        <v>1829211863.9476042</v>
      </c>
      <c r="AF166">
        <v>7.8984414576760429</v>
      </c>
      <c r="AG166">
        <v>2.7646735234789048</v>
      </c>
      <c r="AH166">
        <v>1.1488916733326745E-2</v>
      </c>
      <c r="AI166">
        <v>37.595201777733052</v>
      </c>
      <c r="AJ166">
        <v>197.41235131931668</v>
      </c>
      <c r="AK166">
        <v>173.02372049409703</v>
      </c>
      <c r="AL166">
        <v>23.025957538682952</v>
      </c>
      <c r="AM166">
        <v>44.411584586465331</v>
      </c>
      <c r="AP166">
        <v>120.27</v>
      </c>
      <c r="AV166">
        <v>-403</v>
      </c>
      <c r="AW166">
        <v>213039844.80953199</v>
      </c>
      <c r="AX166">
        <v>71867929.559593603</v>
      </c>
      <c r="AZ166">
        <v>54190.841770037157</v>
      </c>
      <c r="BA166">
        <v>-6261227.1230934104</v>
      </c>
      <c r="BB166">
        <v>5.3254532131136507</v>
      </c>
    </row>
    <row r="167" spans="1:54" x14ac:dyDescent="0.25">
      <c r="A167">
        <v>165</v>
      </c>
      <c r="B167">
        <v>2022</v>
      </c>
      <c r="C167" t="s">
        <v>54</v>
      </c>
      <c r="D167" t="s">
        <v>385</v>
      </c>
      <c r="E167" t="s">
        <v>386</v>
      </c>
      <c r="F167">
        <v>226305</v>
      </c>
      <c r="G167">
        <v>1.93819561963228</v>
      </c>
      <c r="H167">
        <v>960</v>
      </c>
      <c r="J167">
        <v>549053133.84076881</v>
      </c>
      <c r="K167">
        <v>2430</v>
      </c>
      <c r="L167">
        <v>1392005190.5130312</v>
      </c>
      <c r="M167">
        <v>6150</v>
      </c>
      <c r="O167">
        <v>69.236999999999995</v>
      </c>
      <c r="P167">
        <v>3.6949999999999998</v>
      </c>
      <c r="Q167">
        <v>86.778999999999996</v>
      </c>
      <c r="T167">
        <v>14.6</v>
      </c>
      <c r="V167">
        <v>82</v>
      </c>
      <c r="AA167">
        <v>506.6</v>
      </c>
      <c r="AB167">
        <v>7.7642731635824456</v>
      </c>
      <c r="AE167">
        <v>540809499.18934846</v>
      </c>
      <c r="AF167">
        <v>0.16869849221656352</v>
      </c>
      <c r="AG167">
        <v>15.780650993593156</v>
      </c>
      <c r="AH167">
        <v>13.931757705354771</v>
      </c>
      <c r="AI167">
        <v>4.3554064353605035</v>
      </c>
      <c r="AP167">
        <v>86.778499999999994</v>
      </c>
      <c r="AQ167">
        <v>5.2942938181561932</v>
      </c>
      <c r="AR167">
        <v>40.309942840644105</v>
      </c>
      <c r="AS167">
        <v>102.6</v>
      </c>
      <c r="AT167">
        <v>286876907.10000002</v>
      </c>
      <c r="AU167">
        <v>1.4506099647395825</v>
      </c>
      <c r="AV167">
        <v>-592</v>
      </c>
      <c r="AW167">
        <v>4381547.1978161801</v>
      </c>
      <c r="AX167">
        <v>55605987.512497701</v>
      </c>
      <c r="AY167">
        <v>243.78637000017937</v>
      </c>
      <c r="AZ167">
        <v>2389.7372978473672</v>
      </c>
      <c r="BA167">
        <v>-55450020.788288198</v>
      </c>
      <c r="BB167">
        <v>18.005635112284079</v>
      </c>
    </row>
    <row r="168" spans="1:54" x14ac:dyDescent="0.25">
      <c r="A168">
        <v>166</v>
      </c>
      <c r="B168">
        <v>2022</v>
      </c>
      <c r="C168" t="s">
        <v>54</v>
      </c>
      <c r="D168" t="s">
        <v>387</v>
      </c>
      <c r="E168" t="s">
        <v>388</v>
      </c>
      <c r="F168">
        <v>32175224</v>
      </c>
      <c r="G168">
        <v>4.4189199450950696</v>
      </c>
      <c r="H168">
        <v>2149690</v>
      </c>
      <c r="J168">
        <v>1129698327304.5325</v>
      </c>
      <c r="K168">
        <v>35110</v>
      </c>
      <c r="L168">
        <v>2331662827115.0635</v>
      </c>
      <c r="M168">
        <v>72470</v>
      </c>
      <c r="O168">
        <v>77.31</v>
      </c>
      <c r="P168">
        <v>2.14</v>
      </c>
      <c r="Q168">
        <v>10.29</v>
      </c>
      <c r="T168">
        <v>6.4</v>
      </c>
      <c r="V168">
        <v>98</v>
      </c>
      <c r="W168">
        <v>119.840624867605</v>
      </c>
      <c r="X168">
        <v>122.158039993668</v>
      </c>
      <c r="Z168">
        <v>0.1</v>
      </c>
      <c r="AA168">
        <v>9770</v>
      </c>
      <c r="AB168">
        <v>36.753681207048231</v>
      </c>
      <c r="AC168">
        <v>7529.6010305886293</v>
      </c>
      <c r="AD168">
        <v>11835.317758782348</v>
      </c>
      <c r="AE168">
        <v>1239075200000</v>
      </c>
      <c r="AF168">
        <v>12.000587475292889</v>
      </c>
      <c r="AG168">
        <v>12.583206706084667</v>
      </c>
      <c r="AH168">
        <v>2.2147915908036357</v>
      </c>
      <c r="AI168">
        <v>53.123770588473299</v>
      </c>
      <c r="AJ168">
        <v>35.98500989555221</v>
      </c>
      <c r="AK168">
        <v>20.83915487938101</v>
      </c>
      <c r="AL168">
        <v>26.515990850810883</v>
      </c>
      <c r="AM168">
        <v>27.292693195699503</v>
      </c>
      <c r="AN168">
        <v>212.94842718182076</v>
      </c>
      <c r="AO168">
        <v>6.3974221527899306</v>
      </c>
      <c r="AP168">
        <v>149.798</v>
      </c>
      <c r="AQ168">
        <v>0.29527343068195039</v>
      </c>
      <c r="AR168">
        <v>48.508839495778787</v>
      </c>
      <c r="AS168">
        <v>182.5</v>
      </c>
      <c r="AV168">
        <v>977072</v>
      </c>
      <c r="AW168">
        <v>39349380601.645302</v>
      </c>
      <c r="AX168">
        <v>26710062133.333302</v>
      </c>
      <c r="AZ168">
        <v>38510.227621103739</v>
      </c>
      <c r="BA168">
        <v>-178702532.47629401</v>
      </c>
      <c r="BB168">
        <v>2.4740737192537172</v>
      </c>
    </row>
    <row r="169" spans="1:54" x14ac:dyDescent="0.25">
      <c r="A169">
        <v>167</v>
      </c>
      <c r="B169">
        <v>2022</v>
      </c>
      <c r="C169" t="s">
        <v>54</v>
      </c>
      <c r="D169" t="s">
        <v>389</v>
      </c>
      <c r="E169" t="s">
        <v>390</v>
      </c>
      <c r="F169">
        <v>17651103</v>
      </c>
      <c r="G169">
        <v>2.46764281803509</v>
      </c>
      <c r="H169">
        <v>196710</v>
      </c>
      <c r="J169">
        <v>28159265095.535332</v>
      </c>
      <c r="K169">
        <v>1600</v>
      </c>
      <c r="L169">
        <v>77406241090.633621</v>
      </c>
      <c r="M169">
        <v>4390</v>
      </c>
      <c r="O169">
        <v>67.787999999999997</v>
      </c>
      <c r="P169">
        <v>3.8639999999999999</v>
      </c>
      <c r="Q169">
        <v>61.033999999999999</v>
      </c>
      <c r="T169">
        <v>40.4</v>
      </c>
      <c r="V169">
        <v>87</v>
      </c>
      <c r="W169">
        <v>56.870274756712902</v>
      </c>
      <c r="X169">
        <v>45.375679206653501</v>
      </c>
      <c r="Z169">
        <v>0.3</v>
      </c>
      <c r="AA169">
        <v>79881.600000000006</v>
      </c>
      <c r="AB169">
        <v>8.2628516065142996</v>
      </c>
      <c r="AC169">
        <v>315.96593281512094</v>
      </c>
      <c r="AD169">
        <v>399.52177492817304</v>
      </c>
      <c r="AE169">
        <v>27783332222.675926</v>
      </c>
      <c r="AF169">
        <v>3.8504319373576834</v>
      </c>
      <c r="AG169">
        <v>9.347021826143191</v>
      </c>
      <c r="AH169">
        <v>16.333323196840553</v>
      </c>
      <c r="AI169">
        <v>24.899979071123731</v>
      </c>
      <c r="AJ169">
        <v>26.699164224050804</v>
      </c>
      <c r="AK169">
        <v>52.900657427532394</v>
      </c>
      <c r="AL169">
        <v>45.306464356888867</v>
      </c>
      <c r="AM169">
        <v>22.149586781351754</v>
      </c>
      <c r="AO169">
        <v>1.52411336065101</v>
      </c>
      <c r="AP169">
        <v>118.15</v>
      </c>
      <c r="AQ169">
        <v>2.3006868875507069</v>
      </c>
      <c r="AR169">
        <v>63.977207116619994</v>
      </c>
      <c r="AS169">
        <v>111</v>
      </c>
      <c r="AT169">
        <v>35581328119.699997</v>
      </c>
      <c r="AU169">
        <v>5.3504528610107354</v>
      </c>
      <c r="AV169">
        <v>16425</v>
      </c>
      <c r="AW169">
        <v>268717702.67027998</v>
      </c>
      <c r="AX169">
        <v>2928675555.2077799</v>
      </c>
      <c r="AY169">
        <v>82.407097838305063</v>
      </c>
      <c r="AZ169">
        <v>1574.0281059305996</v>
      </c>
      <c r="BA169">
        <v>-2858570258.9576998</v>
      </c>
      <c r="BB169">
        <v>9.6968189908107334</v>
      </c>
    </row>
    <row r="170" spans="1:54" x14ac:dyDescent="0.25">
      <c r="A170">
        <v>168</v>
      </c>
      <c r="B170">
        <v>2022</v>
      </c>
      <c r="C170" t="s">
        <v>54</v>
      </c>
      <c r="D170" t="s">
        <v>391</v>
      </c>
      <c r="E170" t="s">
        <v>392</v>
      </c>
      <c r="F170">
        <v>6664449</v>
      </c>
      <c r="G170">
        <v>-2.5170575672922002</v>
      </c>
      <c r="H170">
        <v>84990</v>
      </c>
      <c r="I170">
        <v>19.899999999999999</v>
      </c>
      <c r="J170">
        <v>65257651840.274796</v>
      </c>
      <c r="K170">
        <v>9790</v>
      </c>
      <c r="L170">
        <v>166657686742.22339</v>
      </c>
      <c r="M170">
        <v>25010</v>
      </c>
      <c r="N170">
        <v>6.9</v>
      </c>
      <c r="O170">
        <v>75.236585365853671</v>
      </c>
      <c r="P170">
        <v>1.59</v>
      </c>
      <c r="Q170">
        <v>13.833</v>
      </c>
      <c r="T170">
        <v>5.3</v>
      </c>
      <c r="V170">
        <v>81</v>
      </c>
      <c r="W170">
        <v>96.048721313476605</v>
      </c>
      <c r="X170">
        <v>91.954002380371094</v>
      </c>
      <c r="Z170">
        <v>0.1</v>
      </c>
      <c r="AA170">
        <v>27233.232999999997</v>
      </c>
      <c r="AB170">
        <v>10.293116299407307</v>
      </c>
      <c r="AC170">
        <v>2440.9165854048997</v>
      </c>
      <c r="AD170">
        <v>5113.7010726618209</v>
      </c>
      <c r="AE170">
        <v>66809895701.215157</v>
      </c>
      <c r="AF170">
        <v>2.7034770554365366</v>
      </c>
      <c r="AG170">
        <v>10.458304150402427</v>
      </c>
      <c r="AH170">
        <v>5.3379422377503216</v>
      </c>
      <c r="AI170">
        <v>25.221565582667179</v>
      </c>
      <c r="AJ170">
        <v>60.738167498974683</v>
      </c>
      <c r="AK170">
        <v>71.175124784541538</v>
      </c>
      <c r="AL170">
        <v>26.384203468171396</v>
      </c>
      <c r="AM170">
        <v>38.649991619458881</v>
      </c>
      <c r="AO170">
        <v>2.17267406821898</v>
      </c>
      <c r="AP170">
        <v>129.81299999999999</v>
      </c>
      <c r="AR170">
        <v>105.08323544460056</v>
      </c>
      <c r="AS170">
        <v>95.2</v>
      </c>
      <c r="AT170">
        <v>44850264265.699997</v>
      </c>
      <c r="AU170">
        <v>9.5905765310018776</v>
      </c>
      <c r="AV170">
        <v>40118</v>
      </c>
      <c r="AW170">
        <v>655220706.27016306</v>
      </c>
      <c r="AX170">
        <v>4612248811.5106802</v>
      </c>
      <c r="AY170">
        <v>76.737347662586657</v>
      </c>
      <c r="AZ170">
        <v>10024.819111259634</v>
      </c>
      <c r="BA170">
        <v>-4500108361.1379299</v>
      </c>
      <c r="BB170">
        <v>11.98151173447029</v>
      </c>
    </row>
    <row r="171" spans="1:54" x14ac:dyDescent="0.25">
      <c r="A171">
        <v>169</v>
      </c>
      <c r="B171">
        <v>2022</v>
      </c>
      <c r="C171" t="s">
        <v>54</v>
      </c>
      <c r="D171" t="s">
        <v>393</v>
      </c>
      <c r="E171" t="s">
        <v>394</v>
      </c>
      <c r="F171">
        <v>119878</v>
      </c>
      <c r="H171">
        <v>460</v>
      </c>
      <c r="J171">
        <v>1761739583.8715045</v>
      </c>
      <c r="K171">
        <v>14700</v>
      </c>
      <c r="L171">
        <v>3480209784.2285194</v>
      </c>
      <c r="M171">
        <v>29030</v>
      </c>
      <c r="O171">
        <v>73.702439024390259</v>
      </c>
      <c r="P171">
        <v>2.0099999999999998</v>
      </c>
      <c r="Q171">
        <v>55.384999999999998</v>
      </c>
      <c r="T171">
        <v>14.5</v>
      </c>
      <c r="V171">
        <v>98</v>
      </c>
      <c r="W171">
        <v>99.870550161812304</v>
      </c>
      <c r="X171">
        <v>76.881874701099903</v>
      </c>
      <c r="AA171">
        <v>337</v>
      </c>
      <c r="AB171">
        <v>168.44561405851746</v>
      </c>
      <c r="AE171">
        <v>2018346588.7375247</v>
      </c>
      <c r="AF171">
        <v>12.710468890283551</v>
      </c>
      <c r="AG171">
        <v>1.5698964559434927</v>
      </c>
      <c r="AH171">
        <v>2.4356014525146867</v>
      </c>
      <c r="AI171">
        <v>11.978764338336665</v>
      </c>
      <c r="AJ171">
        <v>90.121603312776728</v>
      </c>
      <c r="AK171">
        <v>99.705232123814255</v>
      </c>
      <c r="AL171">
        <v>18.072974262269842</v>
      </c>
      <c r="AN171">
        <v>60.238910739334486</v>
      </c>
      <c r="AO171">
        <v>1.1392449640985001</v>
      </c>
      <c r="AP171">
        <v>163.43</v>
      </c>
      <c r="AQ171">
        <v>25.038991663018766</v>
      </c>
      <c r="AR171">
        <v>94.186004059346175</v>
      </c>
      <c r="AS171">
        <v>90.7</v>
      </c>
      <c r="AV171">
        <v>1788</v>
      </c>
      <c r="AW171">
        <v>61474002.789178602</v>
      </c>
      <c r="AX171">
        <v>189827389.279515</v>
      </c>
      <c r="AZ171">
        <v>16836.672189538738</v>
      </c>
      <c r="BA171">
        <v>-226352433.733264</v>
      </c>
      <c r="BB171">
        <v>2.6260363285129</v>
      </c>
    </row>
    <row r="172" spans="1:54" x14ac:dyDescent="0.25">
      <c r="A172">
        <v>170</v>
      </c>
      <c r="B172">
        <v>2022</v>
      </c>
      <c r="C172" t="s">
        <v>54</v>
      </c>
      <c r="D172" t="s">
        <v>395</v>
      </c>
      <c r="E172" t="s">
        <v>396</v>
      </c>
      <c r="F172">
        <v>8276807</v>
      </c>
      <c r="G172">
        <v>2.22598462352813</v>
      </c>
      <c r="H172">
        <v>72300</v>
      </c>
      <c r="J172">
        <v>7624515396.5361948</v>
      </c>
      <c r="K172">
        <v>920</v>
      </c>
      <c r="L172">
        <v>25770019050.274033</v>
      </c>
      <c r="M172">
        <v>3110</v>
      </c>
      <c r="O172">
        <v>61.274999999999999</v>
      </c>
      <c r="P172">
        <v>3.8759999999999999</v>
      </c>
      <c r="Q172">
        <v>95.742999999999995</v>
      </c>
      <c r="T172">
        <v>97.7</v>
      </c>
      <c r="V172">
        <v>90</v>
      </c>
      <c r="W172">
        <v>103.134887102796</v>
      </c>
      <c r="Z172">
        <v>1.5</v>
      </c>
      <c r="AA172">
        <v>24954.2</v>
      </c>
      <c r="AB172">
        <v>42.011576320005091</v>
      </c>
      <c r="AE172">
        <v>7121125277.5254221</v>
      </c>
      <c r="AF172">
        <v>5.3135546141915029</v>
      </c>
      <c r="AG172">
        <v>26.957453093747247</v>
      </c>
      <c r="AH172">
        <v>33.756852667594821</v>
      </c>
      <c r="AI172">
        <v>20.756389934204691</v>
      </c>
      <c r="AJ172">
        <v>16.78047801825781</v>
      </c>
      <c r="AK172">
        <v>28.27373472077409</v>
      </c>
      <c r="AL172">
        <v>14.876867806648026</v>
      </c>
      <c r="AO172">
        <v>0.582258374348818</v>
      </c>
      <c r="AP172">
        <v>107.88200000000001</v>
      </c>
      <c r="AR172">
        <v>42.479241441616402</v>
      </c>
      <c r="AS172">
        <v>111.1</v>
      </c>
      <c r="AT172">
        <v>2401417378.0999999</v>
      </c>
      <c r="AU172">
        <v>1.713793694379544</v>
      </c>
      <c r="AV172">
        <v>-4000</v>
      </c>
      <c r="AW172">
        <v>8288676.07579106</v>
      </c>
      <c r="AX172">
        <v>145000000</v>
      </c>
      <c r="AY172">
        <v>62.735110160932955</v>
      </c>
      <c r="AZ172">
        <v>860.37106791609642</v>
      </c>
      <c r="BA172">
        <v>-145000000</v>
      </c>
      <c r="BB172">
        <v>27.208288381465302</v>
      </c>
    </row>
    <row r="173" spans="1:54" x14ac:dyDescent="0.25">
      <c r="A173">
        <v>171</v>
      </c>
      <c r="B173">
        <v>2022</v>
      </c>
      <c r="C173" t="s">
        <v>54</v>
      </c>
      <c r="D173" t="s">
        <v>397</v>
      </c>
      <c r="E173" t="s">
        <v>398</v>
      </c>
      <c r="F173">
        <v>5637022</v>
      </c>
      <c r="G173">
        <v>3.3086205243952298</v>
      </c>
      <c r="H173">
        <v>728</v>
      </c>
      <c r="J173">
        <v>377197768442.65222</v>
      </c>
      <c r="K173">
        <v>66910</v>
      </c>
      <c r="L173">
        <v>645035480979.87744</v>
      </c>
      <c r="M173">
        <v>114430</v>
      </c>
      <c r="O173">
        <v>82.895121951219522</v>
      </c>
      <c r="P173">
        <v>1.04</v>
      </c>
      <c r="Q173">
        <v>2.17</v>
      </c>
      <c r="T173">
        <v>2.2000000000000002</v>
      </c>
      <c r="V173">
        <v>96</v>
      </c>
      <c r="W173">
        <v>99.633738804972594</v>
      </c>
      <c r="X173">
        <v>103.009804103267</v>
      </c>
      <c r="Z173">
        <v>0.1</v>
      </c>
      <c r="AA173">
        <v>152.1</v>
      </c>
      <c r="AB173">
        <v>1927.2707444759765</v>
      </c>
      <c r="AC173">
        <v>5785.0436734168143</v>
      </c>
      <c r="AD173">
        <v>10143.476466829472</v>
      </c>
      <c r="AE173">
        <v>509017841146.55676</v>
      </c>
      <c r="AF173">
        <v>4.1080002189715117</v>
      </c>
      <c r="AG173">
        <v>14.921410129068803</v>
      </c>
      <c r="AH173">
        <v>2.597731637364643E-2</v>
      </c>
      <c r="AI173">
        <v>23.840521792089987</v>
      </c>
      <c r="AJ173">
        <v>186.11429078720104</v>
      </c>
      <c r="AK173">
        <v>146.23527696763924</v>
      </c>
      <c r="AL173">
        <v>22.213925694045354</v>
      </c>
      <c r="AM173">
        <v>15.884551576372811</v>
      </c>
      <c r="AN173">
        <v>121.67779396590403</v>
      </c>
      <c r="AO173">
        <v>2.4063436367192099</v>
      </c>
      <c r="AP173">
        <v>173.005</v>
      </c>
      <c r="AQ173">
        <v>56.826918987624317</v>
      </c>
      <c r="AR173">
        <v>194.76331080398441</v>
      </c>
      <c r="AS173">
        <v>94.1</v>
      </c>
      <c r="AV173">
        <v>214842</v>
      </c>
      <c r="AX173">
        <v>149723718568.66501</v>
      </c>
      <c r="AZ173">
        <v>90299.069463726904</v>
      </c>
      <c r="BA173">
        <v>-89386218568.665298</v>
      </c>
      <c r="BB173">
        <v>6.1309541891973209</v>
      </c>
    </row>
    <row r="174" spans="1:54" x14ac:dyDescent="0.25">
      <c r="A174">
        <v>172</v>
      </c>
      <c r="B174">
        <v>2022</v>
      </c>
      <c r="C174" t="s">
        <v>54</v>
      </c>
      <c r="D174" t="s">
        <v>399</v>
      </c>
      <c r="E174" t="s">
        <v>400</v>
      </c>
      <c r="F174">
        <v>42139</v>
      </c>
      <c r="G174">
        <v>1.3570868887382901</v>
      </c>
      <c r="H174">
        <v>34</v>
      </c>
      <c r="J174">
        <v>1557534848.4453566</v>
      </c>
      <c r="K174">
        <v>36960</v>
      </c>
      <c r="L174">
        <v>1993867175.9997313</v>
      </c>
      <c r="M174">
        <v>47320</v>
      </c>
      <c r="O174">
        <v>76.180000000000007</v>
      </c>
      <c r="P174">
        <v>1.4530000000000001</v>
      </c>
      <c r="Q174">
        <v>17.062999999999999</v>
      </c>
      <c r="AA174">
        <v>3.7</v>
      </c>
      <c r="AE174">
        <v>1592564639.3296089</v>
      </c>
      <c r="AF174">
        <v>13.900000000000006</v>
      </c>
      <c r="AG174">
        <v>3.3362598770851406</v>
      </c>
      <c r="AP174">
        <v>205.37299999999999</v>
      </c>
      <c r="AR174">
        <v>81.252588940107955</v>
      </c>
      <c r="AV174">
        <v>564</v>
      </c>
      <c r="AW174">
        <v>100703378.407821</v>
      </c>
      <c r="AX174">
        <v>17081418.575419001</v>
      </c>
      <c r="AZ174">
        <v>37793.12843991573</v>
      </c>
      <c r="BA174">
        <v>-15238747.2793296</v>
      </c>
    </row>
    <row r="175" spans="1:54" x14ac:dyDescent="0.25">
      <c r="A175">
        <v>173</v>
      </c>
      <c r="B175">
        <v>2022</v>
      </c>
      <c r="C175" t="s">
        <v>54</v>
      </c>
      <c r="D175" t="s">
        <v>401</v>
      </c>
      <c r="E175" t="s">
        <v>402</v>
      </c>
      <c r="F175">
        <v>5431752</v>
      </c>
      <c r="G175">
        <v>-0.28486095968839398</v>
      </c>
      <c r="H175">
        <v>49030</v>
      </c>
      <c r="J175">
        <v>118918817000.28676</v>
      </c>
      <c r="K175">
        <v>21890</v>
      </c>
      <c r="L175">
        <v>216440838316.55133</v>
      </c>
      <c r="M175">
        <v>39850</v>
      </c>
      <c r="N175">
        <v>8.4</v>
      </c>
      <c r="O175">
        <v>76.965853658536588</v>
      </c>
      <c r="P175">
        <v>1.57</v>
      </c>
      <c r="Q175">
        <v>24.542999999999999</v>
      </c>
      <c r="T175">
        <v>6</v>
      </c>
      <c r="V175">
        <v>95</v>
      </c>
      <c r="W175">
        <v>95.2156982421875</v>
      </c>
      <c r="X175">
        <v>92.204307556152301</v>
      </c>
      <c r="Z175">
        <v>0.1</v>
      </c>
      <c r="AA175">
        <v>19259</v>
      </c>
      <c r="AB175">
        <v>182.76783838513049</v>
      </c>
      <c r="AC175">
        <v>3089.1457459110984</v>
      </c>
      <c r="AD175">
        <v>4957.7005724856363</v>
      </c>
      <c r="AE175">
        <v>115792972358.20862</v>
      </c>
      <c r="AF175">
        <v>0.54459163213745398</v>
      </c>
      <c r="AG175">
        <v>7.3338745894481576</v>
      </c>
      <c r="AH175">
        <v>1.9303962266850043</v>
      </c>
      <c r="AI175">
        <v>26.546191803606838</v>
      </c>
      <c r="AJ175">
        <v>99.067493392150723</v>
      </c>
      <c r="AK175">
        <v>104.98882513900062</v>
      </c>
      <c r="AL175">
        <v>23.308357256555233</v>
      </c>
      <c r="AM175">
        <v>39.134589939117454</v>
      </c>
      <c r="AO175">
        <v>1.8012769663901598</v>
      </c>
      <c r="AP175">
        <v>136.029</v>
      </c>
      <c r="AQ175">
        <v>8.4904160142059713</v>
      </c>
      <c r="AR175">
        <v>190.73005511663393</v>
      </c>
      <c r="AS175">
        <v>94</v>
      </c>
      <c r="AV175">
        <v>92314</v>
      </c>
      <c r="AW175">
        <v>486280571.993155</v>
      </c>
      <c r="AX175">
        <v>4827084865.7481403</v>
      </c>
      <c r="AZ175">
        <v>21317.794398236263</v>
      </c>
      <c r="BA175">
        <v>-2781042660.7708502</v>
      </c>
      <c r="BB175">
        <v>12.77414636376106</v>
      </c>
    </row>
    <row r="176" spans="1:54" x14ac:dyDescent="0.25">
      <c r="A176">
        <v>174</v>
      </c>
      <c r="B176">
        <v>2022</v>
      </c>
      <c r="C176" t="s">
        <v>54</v>
      </c>
      <c r="D176" t="s">
        <v>403</v>
      </c>
      <c r="E176" t="s">
        <v>404</v>
      </c>
      <c r="F176">
        <v>2112076</v>
      </c>
      <c r="G176">
        <v>0.18942437873281701</v>
      </c>
      <c r="H176">
        <v>20480</v>
      </c>
      <c r="I176">
        <v>12.7</v>
      </c>
      <c r="J176">
        <v>62500144864.077942</v>
      </c>
      <c r="K176">
        <v>29590</v>
      </c>
      <c r="L176">
        <v>106228684521.82353</v>
      </c>
      <c r="M176">
        <v>50300</v>
      </c>
      <c r="N176">
        <v>10.199999999999999</v>
      </c>
      <c r="O176">
        <v>81.282926829268291</v>
      </c>
      <c r="P176">
        <v>1.55</v>
      </c>
      <c r="Q176">
        <v>3.5249999999999999</v>
      </c>
      <c r="T176">
        <v>2.2999999999999998</v>
      </c>
      <c r="V176">
        <v>96</v>
      </c>
      <c r="W176">
        <v>97.250762939453097</v>
      </c>
      <c r="X176">
        <v>107.874809265137</v>
      </c>
      <c r="Z176">
        <v>0.1</v>
      </c>
      <c r="AA176">
        <v>12337.611000000001</v>
      </c>
      <c r="AB176">
        <v>64.551672404252045</v>
      </c>
      <c r="AC176">
        <v>3045.9445855558179</v>
      </c>
      <c r="AD176">
        <v>6731.2918663911714</v>
      </c>
      <c r="AE176">
        <v>59899117741.002182</v>
      </c>
      <c r="AF176">
        <v>2.6685055554248578</v>
      </c>
      <c r="AG176">
        <v>6.4782540274426594</v>
      </c>
      <c r="AH176">
        <v>1.6248023856561762</v>
      </c>
      <c r="AI176">
        <v>27.991167622233014</v>
      </c>
      <c r="AJ176">
        <v>94.31625942472634</v>
      </c>
      <c r="AK176">
        <v>92.330816849905389</v>
      </c>
      <c r="AL176">
        <v>24.571488595833895</v>
      </c>
      <c r="AM176">
        <v>42.34436867793422</v>
      </c>
      <c r="AN176">
        <v>13.641720125714969</v>
      </c>
      <c r="AO176">
        <v>1.2950552276348399</v>
      </c>
      <c r="AP176">
        <v>126.459</v>
      </c>
      <c r="AQ176">
        <v>8.5697864392421277</v>
      </c>
      <c r="AR176">
        <v>232.85317924561869</v>
      </c>
      <c r="AS176">
        <v>97</v>
      </c>
      <c r="AV176">
        <v>9014</v>
      </c>
      <c r="AW176">
        <v>410984920.41954899</v>
      </c>
      <c r="AX176">
        <v>2180392923.4660501</v>
      </c>
      <c r="AZ176">
        <v>28360.304146726812</v>
      </c>
      <c r="BA176">
        <v>-1348969666.4845002</v>
      </c>
      <c r="BB176">
        <v>8.8336988674945172</v>
      </c>
    </row>
    <row r="177" spans="1:54" x14ac:dyDescent="0.25">
      <c r="A177">
        <v>175</v>
      </c>
      <c r="B177">
        <v>2022</v>
      </c>
      <c r="C177" t="s">
        <v>54</v>
      </c>
      <c r="D177" t="s">
        <v>405</v>
      </c>
      <c r="E177" t="s">
        <v>406</v>
      </c>
      <c r="F177">
        <v>781066</v>
      </c>
      <c r="G177">
        <v>2.39378076885188</v>
      </c>
      <c r="H177">
        <v>28900</v>
      </c>
      <c r="J177">
        <v>1568125653.2445948</v>
      </c>
      <c r="K177">
        <v>2010</v>
      </c>
      <c r="L177">
        <v>1960748161.6609478</v>
      </c>
      <c r="M177">
        <v>2510</v>
      </c>
      <c r="O177">
        <v>70.409000000000006</v>
      </c>
      <c r="P177">
        <v>3.62</v>
      </c>
      <c r="Q177">
        <v>51.179000000000002</v>
      </c>
      <c r="T177">
        <v>21.2</v>
      </c>
      <c r="V177">
        <v>90</v>
      </c>
      <c r="Z177">
        <v>0.1</v>
      </c>
      <c r="AA177">
        <v>25215.1</v>
      </c>
      <c r="AE177">
        <v>1466670929.6233268</v>
      </c>
      <c r="AF177">
        <v>-2.5844836175572254</v>
      </c>
      <c r="AG177">
        <v>-1.8746715213690095</v>
      </c>
      <c r="AH177">
        <v>31.969848230720384</v>
      </c>
      <c r="AI177">
        <v>19.305637165171145</v>
      </c>
      <c r="AJ177">
        <v>28.131976641380241</v>
      </c>
      <c r="AK177">
        <v>46.703563891605597</v>
      </c>
      <c r="AL177">
        <v>20.878648593895754</v>
      </c>
      <c r="AM177">
        <v>24.627221673530244</v>
      </c>
      <c r="AP177">
        <v>62.073500000000003</v>
      </c>
      <c r="AR177">
        <v>64.977083867391528</v>
      </c>
      <c r="AS177">
        <v>76.7</v>
      </c>
      <c r="AT177">
        <v>477369215.19999999</v>
      </c>
      <c r="AU177">
        <v>0.78316601674673425</v>
      </c>
      <c r="AV177">
        <v>1567</v>
      </c>
      <c r="AW177">
        <v>58922713.9087817</v>
      </c>
      <c r="AX177">
        <v>40718832.689957298</v>
      </c>
      <c r="AY177">
        <v>324.58410229777382</v>
      </c>
      <c r="AZ177">
        <v>1877.7810449095555</v>
      </c>
      <c r="BA177">
        <v>-38366300.182115801</v>
      </c>
      <c r="BB177">
        <v>5.5181292857693771</v>
      </c>
    </row>
    <row r="178" spans="1:54" x14ac:dyDescent="0.25">
      <c r="A178">
        <v>176</v>
      </c>
      <c r="B178">
        <v>2022</v>
      </c>
      <c r="C178" t="s">
        <v>54</v>
      </c>
      <c r="D178" t="s">
        <v>407</v>
      </c>
      <c r="E178" t="s">
        <v>408</v>
      </c>
      <c r="F178">
        <v>17801897</v>
      </c>
      <c r="G178">
        <v>3.0251275475744999</v>
      </c>
      <c r="H178">
        <v>637660</v>
      </c>
      <c r="I178">
        <v>55.4</v>
      </c>
      <c r="J178">
        <v>10100149677.992325</v>
      </c>
      <c r="K178">
        <v>570</v>
      </c>
      <c r="L178">
        <v>26360881263.813629</v>
      </c>
      <c r="M178">
        <v>1480</v>
      </c>
      <c r="O178">
        <v>53.930999999999997</v>
      </c>
      <c r="P178">
        <v>6.2549999999999999</v>
      </c>
      <c r="Q178">
        <v>119.277</v>
      </c>
      <c r="T178">
        <v>142.9</v>
      </c>
      <c r="V178">
        <v>69</v>
      </c>
      <c r="Z178">
        <v>0.1</v>
      </c>
      <c r="AA178">
        <v>58265</v>
      </c>
      <c r="AB178">
        <v>2.4832309104574017</v>
      </c>
      <c r="AE178">
        <v>10203000000</v>
      </c>
      <c r="AF178">
        <v>2.7182120205375924</v>
      </c>
      <c r="AG178">
        <v>7.9373318298771665</v>
      </c>
      <c r="AJ178">
        <v>17.68107419386455</v>
      </c>
      <c r="AK178">
        <v>73.076546113888071</v>
      </c>
      <c r="AL178">
        <v>23.649906890130353</v>
      </c>
      <c r="AM178">
        <v>9.5944637038846046E-5</v>
      </c>
      <c r="AO178">
        <v>1.1630010781142799</v>
      </c>
      <c r="AP178">
        <v>49.680100000000003</v>
      </c>
      <c r="AR178">
        <v>47.887876114868178</v>
      </c>
      <c r="AS178">
        <v>117</v>
      </c>
      <c r="AT178">
        <v>4095256883.6999998</v>
      </c>
      <c r="AU178">
        <v>0.19634238292011025</v>
      </c>
      <c r="AV178">
        <v>-92434</v>
      </c>
      <c r="AX178">
        <v>636000000</v>
      </c>
      <c r="AY178">
        <v>109.5882868287155</v>
      </c>
      <c r="AZ178">
        <v>573.14116579822928</v>
      </c>
    </row>
    <row r="179" spans="1:54" x14ac:dyDescent="0.25">
      <c r="A179">
        <v>177</v>
      </c>
      <c r="B179">
        <v>2022</v>
      </c>
      <c r="C179" t="s">
        <v>54</v>
      </c>
      <c r="D179" t="s">
        <v>409</v>
      </c>
      <c r="E179" t="s">
        <v>410</v>
      </c>
      <c r="F179">
        <v>62378410</v>
      </c>
      <c r="G179">
        <v>1.4139722796008101</v>
      </c>
      <c r="H179">
        <v>1219090</v>
      </c>
      <c r="J179">
        <v>407305164217.69568</v>
      </c>
      <c r="K179">
        <v>6530</v>
      </c>
      <c r="L179">
        <v>900916311447.90125</v>
      </c>
      <c r="M179">
        <v>14440</v>
      </c>
      <c r="O179">
        <v>65.453999999999994</v>
      </c>
      <c r="P179">
        <v>2.2269999999999999</v>
      </c>
      <c r="Q179">
        <v>51.707000000000001</v>
      </c>
      <c r="T179">
        <v>34.4</v>
      </c>
      <c r="V179">
        <v>86</v>
      </c>
      <c r="W179">
        <v>97.101965691325006</v>
      </c>
      <c r="X179">
        <v>104.535066506498</v>
      </c>
      <c r="Z179">
        <v>17.899999999999999</v>
      </c>
      <c r="AA179">
        <v>169772.9</v>
      </c>
      <c r="AB179">
        <v>17.099736661232178</v>
      </c>
      <c r="AC179">
        <v>1938.3064469327448</v>
      </c>
      <c r="AD179">
        <v>3404.6234907237936</v>
      </c>
      <c r="AE179">
        <v>407596043067.88525</v>
      </c>
      <c r="AF179">
        <v>2.058136616921928</v>
      </c>
      <c r="AG179">
        <v>5.2409666963093287</v>
      </c>
      <c r="AH179">
        <v>2.6057748498561781</v>
      </c>
      <c r="AI179">
        <v>24.982028787222333</v>
      </c>
      <c r="AJ179">
        <v>33.539440316427225</v>
      </c>
      <c r="AK179">
        <v>31.407694085912784</v>
      </c>
      <c r="AL179">
        <v>15.672109299704054</v>
      </c>
      <c r="AM179">
        <v>29.663512448737841</v>
      </c>
      <c r="AN179">
        <v>287.47779816028418</v>
      </c>
      <c r="AO179">
        <v>0.79845705609462603</v>
      </c>
      <c r="AP179">
        <v>160.72900000000001</v>
      </c>
      <c r="AQ179">
        <v>5.5219692333635289</v>
      </c>
      <c r="AR179">
        <v>63.569802604007485</v>
      </c>
      <c r="AS179">
        <v>118.1</v>
      </c>
      <c r="AT179">
        <v>171731622090.89999</v>
      </c>
      <c r="AU179">
        <v>6.9174065699737772</v>
      </c>
      <c r="AV179">
        <v>233284</v>
      </c>
      <c r="AW179">
        <v>1011889849.92942</v>
      </c>
      <c r="AX179">
        <v>9238990828.4504204</v>
      </c>
      <c r="AY179">
        <v>16.510448211368324</v>
      </c>
      <c r="AZ179">
        <v>6534.2486778339689</v>
      </c>
      <c r="BA179">
        <v>-6864356333.0689306</v>
      </c>
      <c r="BB179">
        <v>7.0398727254648179</v>
      </c>
    </row>
    <row r="180" spans="1:54" x14ac:dyDescent="0.25">
      <c r="A180">
        <v>178</v>
      </c>
      <c r="B180">
        <v>2022</v>
      </c>
      <c r="C180" t="s">
        <v>54</v>
      </c>
      <c r="D180" t="s">
        <v>411</v>
      </c>
      <c r="E180" t="s">
        <v>412</v>
      </c>
      <c r="F180">
        <v>11021177</v>
      </c>
      <c r="G180">
        <v>1.42002025455897</v>
      </c>
      <c r="H180">
        <v>646883</v>
      </c>
      <c r="O180">
        <v>57.203000000000003</v>
      </c>
      <c r="P180">
        <v>3.964</v>
      </c>
      <c r="Q180">
        <v>98.551000000000002</v>
      </c>
      <c r="T180">
        <v>98.7</v>
      </c>
      <c r="V180">
        <v>72</v>
      </c>
      <c r="Z180">
        <v>1.6</v>
      </c>
      <c r="AA180">
        <v>71570</v>
      </c>
      <c r="AC180">
        <v>69.043364612105592</v>
      </c>
      <c r="AD180">
        <v>46.909690317104968</v>
      </c>
      <c r="AO180">
        <v>1.57467379753671</v>
      </c>
      <c r="AP180">
        <v>48.488799999999998</v>
      </c>
      <c r="AR180">
        <v>40.154113333021847</v>
      </c>
      <c r="AV180">
        <v>40259</v>
      </c>
      <c r="AW180">
        <v>100000</v>
      </c>
      <c r="AX180">
        <v>121500000</v>
      </c>
      <c r="AY180">
        <v>188.54384587564923</v>
      </c>
      <c r="BB180">
        <v>-6.6873209421266786</v>
      </c>
    </row>
    <row r="181" spans="1:54" x14ac:dyDescent="0.25">
      <c r="A181">
        <v>179</v>
      </c>
      <c r="B181">
        <v>2022</v>
      </c>
      <c r="C181" t="s">
        <v>54</v>
      </c>
      <c r="D181" t="s">
        <v>413</v>
      </c>
      <c r="E181" t="s">
        <v>414</v>
      </c>
      <c r="F181">
        <v>47786102</v>
      </c>
      <c r="G181">
        <v>0.71885487916009405</v>
      </c>
      <c r="H181">
        <v>505978.28100000002</v>
      </c>
      <c r="I181">
        <v>20.2</v>
      </c>
      <c r="J181">
        <v>1562166007499.2603</v>
      </c>
      <c r="K181">
        <v>32690</v>
      </c>
      <c r="L181">
        <v>2422209542202.519</v>
      </c>
      <c r="M181">
        <v>50690</v>
      </c>
      <c r="N181">
        <v>6.6</v>
      </c>
      <c r="O181">
        <v>83.134146341463421</v>
      </c>
      <c r="P181">
        <v>1.1599999999999999</v>
      </c>
      <c r="Q181">
        <v>4.7759999999999998</v>
      </c>
      <c r="T181">
        <v>3.1</v>
      </c>
      <c r="V181">
        <v>97</v>
      </c>
      <c r="W181">
        <v>98.491523742675795</v>
      </c>
      <c r="X181">
        <v>119.015510559082</v>
      </c>
      <c r="Z181">
        <v>0.3</v>
      </c>
      <c r="AA181">
        <v>185807.5</v>
      </c>
      <c r="AB181">
        <v>46.440960018313191</v>
      </c>
      <c r="AC181">
        <v>2408.9281148893879</v>
      </c>
      <c r="AD181">
        <v>5179.7696326015457</v>
      </c>
      <c r="AE181">
        <v>1448850658406.6204</v>
      </c>
      <c r="AF181">
        <v>6.3703171212960115</v>
      </c>
      <c r="AG181">
        <v>4.6938395310693863</v>
      </c>
      <c r="AH181">
        <v>2.3696400004942353</v>
      </c>
      <c r="AI181">
        <v>21.223479372582883</v>
      </c>
      <c r="AJ181">
        <v>39.671682427683571</v>
      </c>
      <c r="AK181">
        <v>38.794051442621829</v>
      </c>
      <c r="AL181">
        <v>22.68961371880776</v>
      </c>
      <c r="AM181">
        <v>29.742932254156116</v>
      </c>
      <c r="AN181">
        <v>45.932800329599452</v>
      </c>
      <c r="AO181">
        <v>1.4055469125943001</v>
      </c>
      <c r="AP181">
        <v>123.4</v>
      </c>
      <c r="AQ181">
        <v>12.583718791138846</v>
      </c>
      <c r="AR181">
        <v>62.789149090111849</v>
      </c>
      <c r="AS181">
        <v>93</v>
      </c>
      <c r="AV181">
        <v>299779</v>
      </c>
      <c r="AW181">
        <v>415284093.19534802</v>
      </c>
      <c r="AX181">
        <v>67459796903.679802</v>
      </c>
      <c r="AZ181">
        <v>30319.498719661635</v>
      </c>
      <c r="BA181">
        <v>1263787519.7511902</v>
      </c>
      <c r="BB181">
        <v>8.3905763411862662</v>
      </c>
    </row>
    <row r="182" spans="1:54" x14ac:dyDescent="0.25">
      <c r="A182">
        <v>180</v>
      </c>
      <c r="B182">
        <v>2022</v>
      </c>
      <c r="C182" t="s">
        <v>54</v>
      </c>
      <c r="D182" t="s">
        <v>415</v>
      </c>
      <c r="E182" t="s">
        <v>416</v>
      </c>
      <c r="F182">
        <v>22181000</v>
      </c>
      <c r="G182">
        <v>0.11277263977947399</v>
      </c>
      <c r="H182">
        <v>65610</v>
      </c>
      <c r="J182">
        <v>80376668180.809753</v>
      </c>
      <c r="K182">
        <v>3620</v>
      </c>
      <c r="L182">
        <v>306756203047.35333</v>
      </c>
      <c r="M182">
        <v>13830</v>
      </c>
      <c r="O182">
        <v>77.3</v>
      </c>
      <c r="P182">
        <v>1.984</v>
      </c>
      <c r="Q182">
        <v>15.122</v>
      </c>
      <c r="T182">
        <v>6.4</v>
      </c>
      <c r="U182">
        <v>15.3</v>
      </c>
      <c r="V182">
        <v>99</v>
      </c>
      <c r="W182">
        <v>95.151157144722802</v>
      </c>
      <c r="X182">
        <v>88.1918156520303</v>
      </c>
      <c r="Z182">
        <v>0.1</v>
      </c>
      <c r="AA182">
        <v>21067</v>
      </c>
      <c r="AB182">
        <v>6.9101809733552901</v>
      </c>
      <c r="AC182">
        <v>473.92082562509353</v>
      </c>
      <c r="AD182">
        <v>684.05392002164012</v>
      </c>
      <c r="AE182">
        <v>74143020262.807648</v>
      </c>
      <c r="AF182">
        <v>-7.349193013067449</v>
      </c>
      <c r="AG182">
        <v>47.463884820827076</v>
      </c>
      <c r="AH182">
        <v>8.4479528700793693</v>
      </c>
      <c r="AI182">
        <v>29.805831579062541</v>
      </c>
      <c r="AJ182">
        <v>21.559562462096718</v>
      </c>
      <c r="AK182">
        <v>25.123045557585211</v>
      </c>
      <c r="AL182">
        <v>27.271749424765435</v>
      </c>
      <c r="AM182">
        <v>8.2249540968920574</v>
      </c>
      <c r="AN182">
        <v>14.294292250886876</v>
      </c>
      <c r="AO182">
        <v>1.3433273089472999</v>
      </c>
      <c r="AP182">
        <v>151.727</v>
      </c>
      <c r="AQ182">
        <v>1.0863745770213964</v>
      </c>
      <c r="AR182">
        <v>42.347883710033017</v>
      </c>
      <c r="AS182">
        <v>88.6</v>
      </c>
      <c r="AT182">
        <v>58718751204.5</v>
      </c>
      <c r="AU182">
        <v>4.6159601279780453</v>
      </c>
      <c r="AV182">
        <v>-27435</v>
      </c>
      <c r="AW182">
        <v>364930002.33194101</v>
      </c>
      <c r="AX182">
        <v>884150491.43020701</v>
      </c>
      <c r="AY182">
        <v>0.55257113533128355</v>
      </c>
      <c r="AZ182">
        <v>3342.636502538553</v>
      </c>
      <c r="BA182">
        <v>-869016898.17914307</v>
      </c>
      <c r="BB182">
        <v>49.721102111432742</v>
      </c>
    </row>
    <row r="183" spans="1:54" x14ac:dyDescent="0.25">
      <c r="A183">
        <v>181</v>
      </c>
      <c r="B183">
        <v>2022</v>
      </c>
      <c r="C183" t="s">
        <v>54</v>
      </c>
      <c r="D183" t="s">
        <v>417</v>
      </c>
      <c r="E183" t="s">
        <v>418</v>
      </c>
      <c r="F183">
        <v>46709</v>
      </c>
      <c r="G183">
        <v>-0.11554263524381</v>
      </c>
      <c r="H183">
        <v>260</v>
      </c>
      <c r="J183">
        <v>982639766.45876992</v>
      </c>
      <c r="K183">
        <v>21040</v>
      </c>
      <c r="L183">
        <v>1443000565.7955232</v>
      </c>
      <c r="M183">
        <v>30890</v>
      </c>
      <c r="O183">
        <v>70.313000000000002</v>
      </c>
      <c r="P183">
        <v>1.512</v>
      </c>
      <c r="Q183">
        <v>35.665999999999997</v>
      </c>
      <c r="T183">
        <v>16.8</v>
      </c>
      <c r="V183">
        <v>95</v>
      </c>
      <c r="X183">
        <v>119.88360814743</v>
      </c>
      <c r="Z183">
        <v>0.7</v>
      </c>
      <c r="AA183">
        <v>110</v>
      </c>
      <c r="AB183">
        <v>80.59507261942845</v>
      </c>
      <c r="AE183">
        <v>981429629.62962961</v>
      </c>
      <c r="AF183">
        <v>10.480494154680713</v>
      </c>
      <c r="AG183">
        <v>3.45975195657428</v>
      </c>
      <c r="AH183">
        <v>1.1861003977568627</v>
      </c>
      <c r="AI183">
        <v>21.750583049670549</v>
      </c>
      <c r="AP183">
        <v>116.92400000000001</v>
      </c>
      <c r="AR183">
        <v>36.171722279667605</v>
      </c>
      <c r="AS183">
        <v>99.6</v>
      </c>
      <c r="AV183">
        <v>0</v>
      </c>
      <c r="AW183">
        <v>25947957.037037</v>
      </c>
      <c r="AX183">
        <v>52946962.5925925</v>
      </c>
      <c r="AZ183">
        <v>21011.5744209816</v>
      </c>
      <c r="BA183">
        <v>-50712948.5185185</v>
      </c>
      <c r="BB183">
        <v>2.6681753311124909</v>
      </c>
    </row>
    <row r="184" spans="1:54" x14ac:dyDescent="0.25">
      <c r="A184">
        <v>182</v>
      </c>
      <c r="B184">
        <v>2022</v>
      </c>
      <c r="C184" t="s">
        <v>54</v>
      </c>
      <c r="D184" t="s">
        <v>419</v>
      </c>
      <c r="E184" t="s">
        <v>420</v>
      </c>
      <c r="F184">
        <v>178781</v>
      </c>
      <c r="G184">
        <v>0.14497501860512499</v>
      </c>
      <c r="H184">
        <v>620</v>
      </c>
      <c r="J184">
        <v>2099184232.2280953</v>
      </c>
      <c r="K184">
        <v>11740</v>
      </c>
      <c r="L184">
        <v>4019443587.0712242</v>
      </c>
      <c r="M184">
        <v>22480</v>
      </c>
      <c r="O184">
        <v>72.67</v>
      </c>
      <c r="P184">
        <v>1.387</v>
      </c>
      <c r="Q184">
        <v>28.550999999999998</v>
      </c>
      <c r="T184">
        <v>15.8</v>
      </c>
      <c r="V184">
        <v>81</v>
      </c>
      <c r="W184">
        <v>94.743698120117202</v>
      </c>
      <c r="X184">
        <v>87.684486389160199</v>
      </c>
      <c r="Z184">
        <v>0.4</v>
      </c>
      <c r="AA184">
        <v>207.7</v>
      </c>
      <c r="AB184">
        <v>46.775985565492711</v>
      </c>
      <c r="AE184">
        <v>2342714814.8148146</v>
      </c>
      <c r="AF184">
        <v>20.388443182841428</v>
      </c>
      <c r="AG184">
        <v>4.2190794244876741</v>
      </c>
      <c r="AH184">
        <v>1.5183397546056885</v>
      </c>
      <c r="AI184">
        <v>8.8659405912418805</v>
      </c>
      <c r="AP184">
        <v>98.667599999999993</v>
      </c>
      <c r="AR184">
        <v>38.971879728014194</v>
      </c>
      <c r="AS184">
        <v>83.4</v>
      </c>
      <c r="AT184">
        <v>909317236.5</v>
      </c>
      <c r="AU184">
        <v>2.4102008282289775</v>
      </c>
      <c r="AV184">
        <v>0</v>
      </c>
      <c r="AW184">
        <v>13150697.037036899</v>
      </c>
      <c r="AX184">
        <v>59332604.444444403</v>
      </c>
      <c r="AY184">
        <v>186.8539138131552</v>
      </c>
      <c r="AZ184">
        <v>13103.824314747175</v>
      </c>
      <c r="BA184">
        <v>-77359067.407407388</v>
      </c>
      <c r="BB184">
        <v>6.3781469513335143</v>
      </c>
    </row>
    <row r="185" spans="1:54" x14ac:dyDescent="0.25">
      <c r="A185">
        <v>183</v>
      </c>
      <c r="B185">
        <v>2022</v>
      </c>
      <c r="C185" t="s">
        <v>54</v>
      </c>
      <c r="D185" t="s">
        <v>421</v>
      </c>
      <c r="E185" t="s">
        <v>422</v>
      </c>
      <c r="F185">
        <v>28870</v>
      </c>
      <c r="G185">
        <v>-3.7093542254263601</v>
      </c>
      <c r="H185">
        <v>50</v>
      </c>
      <c r="O185">
        <v>80.236000000000004</v>
      </c>
      <c r="P185">
        <v>2.7629999999999999</v>
      </c>
      <c r="Q185">
        <v>14.656000000000001</v>
      </c>
      <c r="AA185">
        <v>12.4</v>
      </c>
      <c r="AV185">
        <v>-1475</v>
      </c>
    </row>
    <row r="186" spans="1:54" x14ac:dyDescent="0.25">
      <c r="A186">
        <v>184</v>
      </c>
      <c r="B186">
        <v>2022</v>
      </c>
      <c r="C186" t="s">
        <v>54</v>
      </c>
      <c r="D186" t="s">
        <v>423</v>
      </c>
      <c r="E186" t="s">
        <v>424</v>
      </c>
      <c r="F186">
        <v>102046</v>
      </c>
      <c r="G186">
        <v>-0.77604141779406099</v>
      </c>
      <c r="H186">
        <v>390</v>
      </c>
      <c r="J186">
        <v>970471382.51815045</v>
      </c>
      <c r="K186">
        <v>9510</v>
      </c>
      <c r="L186">
        <v>1821064079.5855434</v>
      </c>
      <c r="M186">
        <v>17850</v>
      </c>
      <c r="O186">
        <v>71.191000000000003</v>
      </c>
      <c r="P186">
        <v>1.7909999999999999</v>
      </c>
      <c r="Q186">
        <v>43.552999999999997</v>
      </c>
      <c r="T186">
        <v>11.1</v>
      </c>
      <c r="V186">
        <v>99</v>
      </c>
      <c r="Z186">
        <v>0.9</v>
      </c>
      <c r="AA186">
        <v>285.39999999999998</v>
      </c>
      <c r="AB186">
        <v>110.2192146374465</v>
      </c>
      <c r="AE186">
        <v>989188888.88888884</v>
      </c>
      <c r="AF186">
        <v>3.1108330034352036</v>
      </c>
      <c r="AG186">
        <v>7.9519803370290134</v>
      </c>
      <c r="AH186">
        <v>4.6394165066028652</v>
      </c>
      <c r="AI186">
        <v>14.617288388166886</v>
      </c>
      <c r="AP186">
        <v>102.334</v>
      </c>
      <c r="AQ186">
        <v>4.0070872997932003</v>
      </c>
      <c r="AR186">
        <v>48.928976602603704</v>
      </c>
      <c r="AS186">
        <v>50.8</v>
      </c>
      <c r="AT186">
        <v>624480820</v>
      </c>
      <c r="AU186">
        <v>3.4826660848144524</v>
      </c>
      <c r="AV186">
        <v>-826</v>
      </c>
      <c r="AW186">
        <v>11807721.8518518</v>
      </c>
      <c r="AX186">
        <v>65238462.962962903</v>
      </c>
      <c r="AY186">
        <v>151.8091927332066</v>
      </c>
      <c r="AZ186">
        <v>9693.5586783302515</v>
      </c>
      <c r="BA186">
        <v>-66615779.629629597</v>
      </c>
      <c r="BB186">
        <v>5.6600977922655158</v>
      </c>
    </row>
    <row r="187" spans="1:54" x14ac:dyDescent="0.25">
      <c r="A187">
        <v>185</v>
      </c>
      <c r="B187">
        <v>2022</v>
      </c>
      <c r="C187" t="s">
        <v>54</v>
      </c>
      <c r="D187" t="s">
        <v>425</v>
      </c>
      <c r="E187" t="s">
        <v>426</v>
      </c>
      <c r="F187">
        <v>49383346</v>
      </c>
      <c r="G187">
        <v>2.7018952004366601</v>
      </c>
      <c r="H187">
        <v>1878000</v>
      </c>
      <c r="J187">
        <v>35660781578.702232</v>
      </c>
      <c r="K187">
        <v>720</v>
      </c>
      <c r="L187">
        <v>162240811856.9321</v>
      </c>
      <c r="M187">
        <v>3290</v>
      </c>
      <c r="O187">
        <v>65.694999999999993</v>
      </c>
      <c r="P187">
        <v>4.3840000000000003</v>
      </c>
      <c r="Q187">
        <v>67.338999999999999</v>
      </c>
      <c r="T187">
        <v>51.8</v>
      </c>
      <c r="V187">
        <v>80</v>
      </c>
      <c r="Z187">
        <v>0.2</v>
      </c>
      <c r="AA187">
        <v>180150</v>
      </c>
      <c r="AB187">
        <v>1.7843371059210105</v>
      </c>
      <c r="AC187">
        <v>411.78053817918089</v>
      </c>
      <c r="AD187">
        <v>278.81869324933956</v>
      </c>
      <c r="AE187">
        <v>51666875363.096298</v>
      </c>
      <c r="AF187">
        <v>-0.95781659111918316</v>
      </c>
      <c r="AG187">
        <v>116.87407540579434</v>
      </c>
      <c r="AH187">
        <v>5.0312926615012241</v>
      </c>
      <c r="AI187">
        <v>4.8714017457712</v>
      </c>
      <c r="AJ187">
        <v>1.5711618305558648</v>
      </c>
      <c r="AK187">
        <v>1.1276726053026931</v>
      </c>
      <c r="AL187">
        <v>2.1782642934147565</v>
      </c>
      <c r="AP187">
        <v>70.208399999999997</v>
      </c>
      <c r="AR187">
        <v>29.906975971372134</v>
      </c>
      <c r="AT187">
        <v>22440226840.5</v>
      </c>
      <c r="AU187">
        <v>0.37256317114154847</v>
      </c>
      <c r="AV187">
        <v>-26668</v>
      </c>
      <c r="AW187">
        <v>247281848.60066801</v>
      </c>
      <c r="AX187">
        <v>573504494.77600002</v>
      </c>
      <c r="AY187">
        <v>31.326399823257216</v>
      </c>
      <c r="AZ187">
        <v>1046.24084472656</v>
      </c>
      <c r="BA187">
        <v>-573504494.77600002</v>
      </c>
      <c r="BB187">
        <v>138.80846024176</v>
      </c>
    </row>
    <row r="188" spans="1:54" x14ac:dyDescent="0.25">
      <c r="A188">
        <v>186</v>
      </c>
      <c r="B188">
        <v>2022</v>
      </c>
      <c r="C188" t="s">
        <v>54</v>
      </c>
      <c r="D188" t="s">
        <v>427</v>
      </c>
      <c r="E188" t="s">
        <v>428</v>
      </c>
      <c r="F188">
        <v>623164</v>
      </c>
      <c r="G188">
        <v>0.84895680142874597</v>
      </c>
      <c r="H188">
        <v>163820</v>
      </c>
      <c r="I188">
        <v>17.600000000000001</v>
      </c>
      <c r="J188">
        <v>3141113060.000114</v>
      </c>
      <c r="K188">
        <v>5040</v>
      </c>
      <c r="L188">
        <v>11508376708.538815</v>
      </c>
      <c r="M188">
        <v>18470</v>
      </c>
      <c r="N188">
        <v>5.9</v>
      </c>
      <c r="O188">
        <v>73.254000000000005</v>
      </c>
      <c r="P188">
        <v>2.274</v>
      </c>
      <c r="Q188">
        <v>48.814</v>
      </c>
      <c r="T188">
        <v>16.8</v>
      </c>
      <c r="V188">
        <v>74</v>
      </c>
      <c r="X188">
        <v>77.731821562308397</v>
      </c>
      <c r="Z188">
        <v>1.6</v>
      </c>
      <c r="AA188">
        <v>151718.011</v>
      </c>
      <c r="AB188">
        <v>7.1648516883351885</v>
      </c>
      <c r="AC188">
        <v>1738.8234545480486</v>
      </c>
      <c r="AD188">
        <v>2955.8832024956514</v>
      </c>
      <c r="AE188">
        <v>3791603200.0259018</v>
      </c>
      <c r="AF188">
        <v>2.4062223560121794</v>
      </c>
      <c r="AG188">
        <v>49.423283739680244</v>
      </c>
      <c r="AH188">
        <v>7.2956617949009512</v>
      </c>
      <c r="AI188">
        <v>42.230517326734706</v>
      </c>
      <c r="AP188">
        <v>149.05199999999999</v>
      </c>
      <c r="AQ188">
        <v>11.350144983772896</v>
      </c>
      <c r="AR188">
        <v>122.34930068548073</v>
      </c>
      <c r="AS188">
        <v>110.5</v>
      </c>
      <c r="AT188">
        <v>4194863046.5</v>
      </c>
      <c r="AU188">
        <v>11.020574802924287</v>
      </c>
      <c r="AV188">
        <v>-988</v>
      </c>
      <c r="AW188">
        <v>107380916.33888</v>
      </c>
      <c r="AX188">
        <v>-9305315.3695988599</v>
      </c>
      <c r="AY188">
        <v>88.649889350502917</v>
      </c>
      <c r="AZ188">
        <v>6084.4387673644524</v>
      </c>
      <c r="BA188">
        <v>-3351403.6304011401</v>
      </c>
      <c r="BB188">
        <v>52.446027276241011</v>
      </c>
    </row>
    <row r="189" spans="1:54" x14ac:dyDescent="0.25">
      <c r="A189">
        <v>187</v>
      </c>
      <c r="B189">
        <v>2022</v>
      </c>
      <c r="C189" t="s">
        <v>54</v>
      </c>
      <c r="D189" t="s">
        <v>429</v>
      </c>
      <c r="E189" t="s">
        <v>430</v>
      </c>
      <c r="F189">
        <v>10486941</v>
      </c>
      <c r="G189">
        <v>0.68058286829852999</v>
      </c>
      <c r="H189">
        <v>528860</v>
      </c>
      <c r="I189">
        <v>16.100000000000001</v>
      </c>
      <c r="J189">
        <v>649358771851.72925</v>
      </c>
      <c r="K189">
        <v>61920</v>
      </c>
      <c r="L189">
        <v>724275770514.28345</v>
      </c>
      <c r="M189">
        <v>69060</v>
      </c>
      <c r="N189">
        <v>7.4</v>
      </c>
      <c r="O189">
        <v>83.058536585365871</v>
      </c>
      <c r="P189">
        <v>1.53</v>
      </c>
      <c r="Q189">
        <v>2.016</v>
      </c>
      <c r="T189">
        <v>2.5</v>
      </c>
      <c r="V189">
        <v>93</v>
      </c>
      <c r="W189">
        <v>99.890327453613295</v>
      </c>
      <c r="X189">
        <v>139.40652465820301</v>
      </c>
      <c r="Z189">
        <v>0.1</v>
      </c>
      <c r="AA189">
        <v>279800</v>
      </c>
      <c r="AB189">
        <v>229.35352919382049</v>
      </c>
      <c r="AC189">
        <v>4323.6657213930448</v>
      </c>
      <c r="AD189">
        <v>12418.397319103826</v>
      </c>
      <c r="AE189">
        <v>575071237640.92139</v>
      </c>
      <c r="AF189">
        <v>1.2554362044581637</v>
      </c>
      <c r="AG189">
        <v>6.0271955711854019</v>
      </c>
      <c r="AH189">
        <v>1.2387699295872114</v>
      </c>
      <c r="AI189">
        <v>23.759205627521421</v>
      </c>
      <c r="AJ189">
        <v>54.312063358615227</v>
      </c>
      <c r="AK189">
        <v>52.799688467896466</v>
      </c>
      <c r="AL189">
        <v>26.921806645502429</v>
      </c>
      <c r="AM189">
        <v>34.353515008815563</v>
      </c>
      <c r="AO189">
        <v>1.3314766192334799</v>
      </c>
      <c r="AP189">
        <v>140.78200000000001</v>
      </c>
      <c r="AQ189">
        <v>17.256654136370216</v>
      </c>
      <c r="AR189">
        <v>69.699538729195865</v>
      </c>
      <c r="AS189">
        <v>97.4</v>
      </c>
      <c r="AV189">
        <v>58955</v>
      </c>
      <c r="AW189">
        <v>3938500724.3365202</v>
      </c>
      <c r="AX189">
        <v>53904967740.710503</v>
      </c>
      <c r="AZ189">
        <v>54836.890723512355</v>
      </c>
      <c r="BA189">
        <v>11973563999.7101</v>
      </c>
      <c r="BB189">
        <v>8.3692909886918905</v>
      </c>
    </row>
    <row r="190" spans="1:54" x14ac:dyDescent="0.25">
      <c r="A190">
        <v>188</v>
      </c>
      <c r="B190">
        <v>2022</v>
      </c>
      <c r="C190" t="s">
        <v>54</v>
      </c>
      <c r="D190" t="s">
        <v>431</v>
      </c>
      <c r="E190" t="s">
        <v>432</v>
      </c>
      <c r="F190">
        <v>8777088</v>
      </c>
      <c r="G190">
        <v>0.82992718390037101</v>
      </c>
      <c r="H190">
        <v>41290.699999999997</v>
      </c>
      <c r="J190">
        <v>839128169518.2301</v>
      </c>
      <c r="K190">
        <v>95600</v>
      </c>
      <c r="L190">
        <v>779747146911.62939</v>
      </c>
      <c r="M190">
        <v>88840</v>
      </c>
      <c r="N190">
        <v>7.4</v>
      </c>
      <c r="O190">
        <v>83.604878048780492</v>
      </c>
      <c r="P190">
        <v>1.39</v>
      </c>
      <c r="Q190">
        <v>1.3859999999999999</v>
      </c>
      <c r="T190">
        <v>4</v>
      </c>
      <c r="V190">
        <v>96</v>
      </c>
      <c r="W190">
        <v>95.063606262207003</v>
      </c>
      <c r="X190">
        <v>103.39235687255901</v>
      </c>
      <c r="Z190">
        <v>0.2</v>
      </c>
      <c r="AA190">
        <v>12759.9</v>
      </c>
      <c r="AB190">
        <v>466.69496992654956</v>
      </c>
      <c r="AC190">
        <v>2591.921410404806</v>
      </c>
      <c r="AD190">
        <v>7309.4857884528446</v>
      </c>
      <c r="AE190">
        <v>828508926958.39331</v>
      </c>
      <c r="AF190">
        <v>3.0440610296942339</v>
      </c>
      <c r="AG190">
        <v>3.0400522180438685</v>
      </c>
      <c r="AH190">
        <v>0.61637979881485894</v>
      </c>
      <c r="AI190">
        <v>24.54338165606891</v>
      </c>
      <c r="AJ190">
        <v>76.1397677689787</v>
      </c>
      <c r="AK190">
        <v>62.360930984540573</v>
      </c>
      <c r="AL190">
        <v>24.817343093318719</v>
      </c>
      <c r="AM190">
        <v>17.181954506155925</v>
      </c>
      <c r="AN190">
        <v>220.94205028305348</v>
      </c>
      <c r="AO190">
        <v>0.68206130264403297</v>
      </c>
      <c r="AP190">
        <v>123.971</v>
      </c>
      <c r="AQ190">
        <v>29.988139797666413</v>
      </c>
      <c r="AR190">
        <v>91.466485796604601</v>
      </c>
      <c r="AS190">
        <v>97.5</v>
      </c>
      <c r="AV190">
        <v>96424</v>
      </c>
      <c r="AW190">
        <v>33302473614.348301</v>
      </c>
      <c r="AX190">
        <v>-12412561200.232</v>
      </c>
      <c r="AZ190">
        <v>94394.510680352454</v>
      </c>
      <c r="BA190">
        <v>-22007053290.174297</v>
      </c>
      <c r="BB190">
        <v>2.8350279864446262</v>
      </c>
    </row>
    <row r="191" spans="1:54" x14ac:dyDescent="0.25">
      <c r="A191">
        <v>189</v>
      </c>
      <c r="B191">
        <v>2022</v>
      </c>
      <c r="C191" t="s">
        <v>54</v>
      </c>
      <c r="D191" t="s">
        <v>433</v>
      </c>
      <c r="E191" t="s">
        <v>434</v>
      </c>
      <c r="F191">
        <v>22462173</v>
      </c>
      <c r="G191">
        <v>3.7805131334095301</v>
      </c>
      <c r="H191">
        <v>185180</v>
      </c>
      <c r="J191">
        <v>15883359000.931307</v>
      </c>
      <c r="K191">
        <v>710</v>
      </c>
      <c r="L191">
        <v>103548131873.32249</v>
      </c>
      <c r="M191">
        <v>4610</v>
      </c>
      <c r="N191">
        <v>9.1999999999999993</v>
      </c>
      <c r="O191">
        <v>72.790000000000006</v>
      </c>
      <c r="P191">
        <v>2.746</v>
      </c>
      <c r="Q191">
        <v>39.72</v>
      </c>
      <c r="T191">
        <v>21.1</v>
      </c>
      <c r="V191">
        <v>52</v>
      </c>
      <c r="W191">
        <v>57.759441375732401</v>
      </c>
      <c r="X191">
        <v>39.626808166503899</v>
      </c>
      <c r="Z191">
        <v>0.1</v>
      </c>
      <c r="AA191">
        <v>5220</v>
      </c>
      <c r="AB191">
        <v>1.145712177825998</v>
      </c>
      <c r="AC191">
        <v>454.53208605454603</v>
      </c>
      <c r="AD191">
        <v>689.51476778315259</v>
      </c>
      <c r="AE191">
        <v>23622827079.50465</v>
      </c>
      <c r="AF191">
        <v>0.73278130186136536</v>
      </c>
      <c r="AG191">
        <v>112.14365352307988</v>
      </c>
      <c r="AH191">
        <v>43.059987810877701</v>
      </c>
      <c r="AI191">
        <v>12.000958703636545</v>
      </c>
      <c r="AJ191">
        <v>6.8101268777641808</v>
      </c>
      <c r="AK191">
        <v>28.799341202231428</v>
      </c>
      <c r="AP191">
        <v>78.656800000000004</v>
      </c>
      <c r="AR191">
        <v>36.303868165891984</v>
      </c>
      <c r="AS191">
        <v>102</v>
      </c>
      <c r="AT191">
        <v>4862033265.3000002</v>
      </c>
      <c r="AU191">
        <v>4.5327870249739236E-2</v>
      </c>
      <c r="AV191">
        <v>735142</v>
      </c>
      <c r="AX191">
        <v>0</v>
      </c>
      <c r="AY191">
        <v>319.7759536875061</v>
      </c>
      <c r="AZ191">
        <v>1051.6714958746265</v>
      </c>
    </row>
    <row r="192" spans="1:54" x14ac:dyDescent="0.25">
      <c r="A192">
        <v>190</v>
      </c>
      <c r="B192">
        <v>2022</v>
      </c>
      <c r="C192" t="s">
        <v>54</v>
      </c>
      <c r="D192" t="s">
        <v>435</v>
      </c>
      <c r="E192" t="s">
        <v>436</v>
      </c>
      <c r="F192">
        <v>10182222</v>
      </c>
      <c r="G192">
        <v>2.1372852942345801</v>
      </c>
      <c r="H192">
        <v>141379</v>
      </c>
      <c r="I192">
        <v>21.7</v>
      </c>
      <c r="J192">
        <v>13840795739.909964</v>
      </c>
      <c r="K192">
        <v>1360</v>
      </c>
      <c r="L192">
        <v>60969232621.214783</v>
      </c>
      <c r="M192">
        <v>5990</v>
      </c>
      <c r="N192">
        <v>6.4</v>
      </c>
      <c r="O192">
        <v>71.561999999999998</v>
      </c>
      <c r="P192">
        <v>3.1269999999999998</v>
      </c>
      <c r="Q192">
        <v>42.246000000000002</v>
      </c>
      <c r="T192">
        <v>27.7</v>
      </c>
      <c r="V192">
        <v>98</v>
      </c>
      <c r="X192">
        <v>90.888637681584996</v>
      </c>
      <c r="Z192">
        <v>0.2</v>
      </c>
      <c r="AA192">
        <v>4258</v>
      </c>
      <c r="AB192">
        <v>1.273263189891042</v>
      </c>
      <c r="AC192">
        <v>375.19709514847148</v>
      </c>
      <c r="AD192">
        <v>1475.7093294567728</v>
      </c>
      <c r="AE192">
        <v>10713525200.39978</v>
      </c>
      <c r="AF192">
        <v>8.0000003384636358</v>
      </c>
      <c r="AG192">
        <v>8.2622728147574378</v>
      </c>
      <c r="AH192">
        <v>22.934853704084475</v>
      </c>
      <c r="AI192">
        <v>34.702580856427012</v>
      </c>
      <c r="AJ192">
        <v>16.353124045431738</v>
      </c>
      <c r="AK192">
        <v>49.082387543925996</v>
      </c>
      <c r="AL192">
        <v>35.467504698273927</v>
      </c>
      <c r="AM192">
        <v>17.069894991356531</v>
      </c>
      <c r="AO192">
        <v>1.9308962406794601</v>
      </c>
      <c r="AP192">
        <v>126.161</v>
      </c>
      <c r="AQ192">
        <v>1.627127590333715</v>
      </c>
      <c r="AR192">
        <v>68.231509827663672</v>
      </c>
      <c r="AS192">
        <v>108</v>
      </c>
      <c r="AT192">
        <v>6723539347.8000002</v>
      </c>
      <c r="AU192">
        <v>3.5694797648413066</v>
      </c>
      <c r="AV192">
        <v>-17001</v>
      </c>
      <c r="AW192">
        <v>223772742.49000001</v>
      </c>
      <c r="AX192">
        <v>174022240.52390999</v>
      </c>
      <c r="AY192">
        <v>58.400985014233044</v>
      </c>
      <c r="AZ192">
        <v>1052.1794948489417</v>
      </c>
      <c r="BA192">
        <v>-162037819.51391</v>
      </c>
    </row>
    <row r="193" spans="1:54" x14ac:dyDescent="0.25">
      <c r="A193">
        <v>191</v>
      </c>
      <c r="B193">
        <v>2022</v>
      </c>
      <c r="C193" t="s">
        <v>54</v>
      </c>
      <c r="D193" t="s">
        <v>437</v>
      </c>
      <c r="E193" t="s">
        <v>438</v>
      </c>
      <c r="F193">
        <v>64711821</v>
      </c>
      <c r="G193">
        <v>2.9504665839306399</v>
      </c>
      <c r="H193">
        <v>947300</v>
      </c>
      <c r="J193">
        <v>75844551362.688126</v>
      </c>
      <c r="K193">
        <v>1210</v>
      </c>
      <c r="L193">
        <v>233985209400.59689</v>
      </c>
      <c r="M193">
        <v>3730</v>
      </c>
      <c r="O193">
        <v>66.879000000000005</v>
      </c>
      <c r="P193">
        <v>4.6710000000000003</v>
      </c>
      <c r="Q193">
        <v>114.29</v>
      </c>
      <c r="R193">
        <v>37.6</v>
      </c>
      <c r="T193">
        <v>40.5</v>
      </c>
      <c r="U193">
        <v>11.4</v>
      </c>
      <c r="V193">
        <v>84</v>
      </c>
      <c r="Z193">
        <v>3.9</v>
      </c>
      <c r="AA193">
        <v>448070</v>
      </c>
      <c r="AB193">
        <v>12.955056742178048</v>
      </c>
      <c r="AC193">
        <v>405.14631482794618</v>
      </c>
      <c r="AD193">
        <v>123.47048617284314</v>
      </c>
      <c r="AE193">
        <v>75749121842.914871</v>
      </c>
      <c r="AF193">
        <v>4.5660057643095513</v>
      </c>
      <c r="AG193">
        <v>2.762614833371984</v>
      </c>
      <c r="AH193">
        <v>24.256969456955161</v>
      </c>
      <c r="AI193">
        <v>27.684811175678252</v>
      </c>
      <c r="AJ193">
        <v>15.413710520168285</v>
      </c>
      <c r="AK193">
        <v>19.589741190031091</v>
      </c>
      <c r="AL193">
        <v>41.067762408073207</v>
      </c>
      <c r="AM193">
        <v>13.996990503456633</v>
      </c>
      <c r="AN193">
        <v>8.8408549658010127</v>
      </c>
      <c r="AO193">
        <v>1.1913415373885501</v>
      </c>
      <c r="AP193">
        <v>93.016000000000005</v>
      </c>
      <c r="AQ193">
        <v>1.703635659601261</v>
      </c>
      <c r="AR193">
        <v>27.781180148385221</v>
      </c>
      <c r="AS193">
        <v>98.2</v>
      </c>
      <c r="AT193">
        <v>30443587044.599998</v>
      </c>
      <c r="AU193">
        <v>2.6852348589954413</v>
      </c>
      <c r="AV193">
        <v>-37557</v>
      </c>
      <c r="AW193">
        <v>162212180.21157399</v>
      </c>
      <c r="AX193">
        <v>1437575169.471</v>
      </c>
      <c r="AY193">
        <v>40.877626129544403</v>
      </c>
      <c r="AZ193">
        <v>1207.52062988281</v>
      </c>
      <c r="BA193">
        <v>-1437575169.471</v>
      </c>
      <c r="BB193">
        <v>4.350272042691012</v>
      </c>
    </row>
    <row r="194" spans="1:54" x14ac:dyDescent="0.25">
      <c r="A194">
        <v>192</v>
      </c>
      <c r="B194">
        <v>2022</v>
      </c>
      <c r="C194" t="s">
        <v>54</v>
      </c>
      <c r="D194" t="s">
        <v>439</v>
      </c>
      <c r="E194" t="s">
        <v>440</v>
      </c>
      <c r="F194">
        <v>71735329</v>
      </c>
      <c r="G194">
        <v>1.1148545485696401E-2</v>
      </c>
      <c r="H194">
        <v>513115.02100000001</v>
      </c>
      <c r="I194">
        <v>5.4</v>
      </c>
      <c r="J194">
        <v>517512922987.26459</v>
      </c>
      <c r="K194">
        <v>7210</v>
      </c>
      <c r="L194">
        <v>1544772596917.1096</v>
      </c>
      <c r="M194">
        <v>21530</v>
      </c>
      <c r="N194">
        <v>7.7</v>
      </c>
      <c r="O194">
        <v>75.290999999999997</v>
      </c>
      <c r="P194">
        <v>1.2210000000000001</v>
      </c>
      <c r="Q194">
        <v>26.254000000000001</v>
      </c>
      <c r="R194">
        <v>72.8</v>
      </c>
      <c r="T194">
        <v>9.5</v>
      </c>
      <c r="U194">
        <v>6.7</v>
      </c>
      <c r="V194">
        <v>93</v>
      </c>
      <c r="W194">
        <v>104.88638591985899</v>
      </c>
      <c r="X194">
        <v>88.066168686839902</v>
      </c>
      <c r="Y194">
        <v>1.02751123905182</v>
      </c>
      <c r="Z194">
        <v>1.1000000000000001</v>
      </c>
      <c r="AA194">
        <v>198010</v>
      </c>
      <c r="AB194">
        <v>7.8596112962614892</v>
      </c>
      <c r="AC194">
        <v>1867.4696831205304</v>
      </c>
      <c r="AD194">
        <v>2828.5504900939395</v>
      </c>
      <c r="AE194">
        <v>495644697587.66052</v>
      </c>
      <c r="AF194">
        <v>2.5803787470982655</v>
      </c>
      <c r="AG194">
        <v>4.6595523378654633</v>
      </c>
      <c r="AH194">
        <v>8.719451384414441</v>
      </c>
      <c r="AI194">
        <v>35.121757703146109</v>
      </c>
      <c r="AJ194">
        <v>65.372764191408251</v>
      </c>
      <c r="AK194">
        <v>67.485947891462985</v>
      </c>
      <c r="AL194">
        <v>27.858429253958324</v>
      </c>
      <c r="AM194">
        <v>18.976842121954562</v>
      </c>
      <c r="AN194">
        <v>121.93311719896143</v>
      </c>
      <c r="AO194">
        <v>1.2410526963056501</v>
      </c>
      <c r="AP194">
        <v>176.22300000000001</v>
      </c>
      <c r="AQ194">
        <v>25.837748810493299</v>
      </c>
      <c r="AR194">
        <v>118.72516802137783</v>
      </c>
      <c r="AS194">
        <v>89.5</v>
      </c>
      <c r="AT194">
        <v>201051228652.89999</v>
      </c>
      <c r="AU194">
        <v>5.6141235397337885</v>
      </c>
      <c r="AV194">
        <v>21683</v>
      </c>
      <c r="AW194">
        <v>6307122238.1372204</v>
      </c>
      <c r="AX194">
        <v>11854822037.8762</v>
      </c>
      <c r="AY194">
        <v>7.7428902812766216</v>
      </c>
      <c r="AZ194">
        <v>6909.3528181582678</v>
      </c>
      <c r="BA194">
        <v>-4214515134.53228</v>
      </c>
      <c r="BB194">
        <v>-1.6106803048668801</v>
      </c>
    </row>
    <row r="195" spans="1:54" x14ac:dyDescent="0.25">
      <c r="A195">
        <v>193</v>
      </c>
      <c r="B195">
        <v>2022</v>
      </c>
      <c r="C195" t="s">
        <v>54</v>
      </c>
      <c r="D195" t="s">
        <v>441</v>
      </c>
      <c r="E195" t="s">
        <v>442</v>
      </c>
      <c r="F195">
        <v>1369295</v>
      </c>
      <c r="G195">
        <v>1.4088458735638401</v>
      </c>
      <c r="H195">
        <v>14870</v>
      </c>
      <c r="J195">
        <v>2487893712.1859689</v>
      </c>
      <c r="K195">
        <v>1820</v>
      </c>
      <c r="L195">
        <v>7474664337.9668531</v>
      </c>
      <c r="M195">
        <v>5460</v>
      </c>
      <c r="O195">
        <v>67.367999999999995</v>
      </c>
      <c r="P195">
        <v>2.8010000000000002</v>
      </c>
      <c r="Q195">
        <v>27.87</v>
      </c>
      <c r="T195">
        <v>51.4</v>
      </c>
      <c r="V195">
        <v>72</v>
      </c>
      <c r="W195">
        <v>86.545176415815902</v>
      </c>
      <c r="Z195">
        <v>0.2</v>
      </c>
      <c r="AA195">
        <v>9183</v>
      </c>
      <c r="AB195">
        <v>1.8456400786139242</v>
      </c>
      <c r="AE195">
        <v>3208599889.0096498</v>
      </c>
      <c r="AF195">
        <v>-20.522478556187423</v>
      </c>
      <c r="AG195">
        <v>11.367974782980397</v>
      </c>
      <c r="AH195">
        <v>10.324624960185483</v>
      </c>
      <c r="AI195">
        <v>54.512245193182437</v>
      </c>
      <c r="AJ195">
        <v>55.611935458687341</v>
      </c>
      <c r="AK195">
        <v>42.009174902048571</v>
      </c>
      <c r="AL195">
        <v>10.605485511210949</v>
      </c>
      <c r="AM195">
        <v>51.46752382733856</v>
      </c>
      <c r="AO195">
        <v>1.3808351511374299</v>
      </c>
      <c r="AP195">
        <v>108.158</v>
      </c>
      <c r="AQ195">
        <v>6.8297669850365921</v>
      </c>
      <c r="AR195">
        <v>40.703111798807157</v>
      </c>
      <c r="AS195">
        <v>154.30000000000001</v>
      </c>
      <c r="AT195">
        <v>287938205.69999999</v>
      </c>
      <c r="AU195">
        <v>0.5568365339869521</v>
      </c>
      <c r="AV195">
        <v>-5519</v>
      </c>
      <c r="AW195">
        <v>121906126.468815</v>
      </c>
      <c r="AX195">
        <v>53663376.016020097</v>
      </c>
      <c r="AY195">
        <v>164.02410115555597</v>
      </c>
      <c r="AZ195">
        <v>2343.2495474018747</v>
      </c>
      <c r="BA195">
        <v>-36663376.016020104</v>
      </c>
      <c r="BB195">
        <v>7.0053094539978691</v>
      </c>
    </row>
    <row r="196" spans="1:54" x14ac:dyDescent="0.25">
      <c r="A196">
        <v>194</v>
      </c>
      <c r="B196">
        <v>2022</v>
      </c>
      <c r="C196" t="s">
        <v>54</v>
      </c>
      <c r="D196" t="s">
        <v>443</v>
      </c>
      <c r="E196" t="s">
        <v>444</v>
      </c>
      <c r="F196">
        <v>9089738</v>
      </c>
      <c r="G196">
        <v>2.3527089596053101</v>
      </c>
      <c r="H196">
        <v>56790</v>
      </c>
      <c r="J196">
        <v>9095267856.081274</v>
      </c>
      <c r="K196">
        <v>1000</v>
      </c>
      <c r="L196">
        <v>26712320226.600712</v>
      </c>
      <c r="M196">
        <v>2940</v>
      </c>
      <c r="O196">
        <v>62.29</v>
      </c>
      <c r="P196">
        <v>4.2530000000000001</v>
      </c>
      <c r="Q196">
        <v>78.269000000000005</v>
      </c>
      <c r="T196">
        <v>60.2</v>
      </c>
      <c r="V196">
        <v>79</v>
      </c>
      <c r="W196">
        <v>85.706230740651705</v>
      </c>
      <c r="Z196">
        <v>1.8</v>
      </c>
      <c r="AA196">
        <v>12033.5</v>
      </c>
      <c r="AB196">
        <v>35.116063242605073</v>
      </c>
      <c r="AC196">
        <v>425.40232110660509</v>
      </c>
      <c r="AD196">
        <v>191.86471601271677</v>
      </c>
      <c r="AE196">
        <v>8646453099.4123974</v>
      </c>
      <c r="AF196">
        <v>6.2944369201942862</v>
      </c>
      <c r="AG196">
        <v>7.121463674340049</v>
      </c>
      <c r="AH196">
        <v>21.219848519712109</v>
      </c>
      <c r="AI196">
        <v>21.225707631437398</v>
      </c>
      <c r="AJ196">
        <v>25.009210486549165</v>
      </c>
      <c r="AK196">
        <v>36.565881910344835</v>
      </c>
      <c r="AL196">
        <v>24.498281110909833</v>
      </c>
      <c r="AM196">
        <v>14.22342585970876</v>
      </c>
      <c r="AO196">
        <v>4.1415364948095705</v>
      </c>
      <c r="AP196">
        <v>72.214799999999997</v>
      </c>
      <c r="AQ196">
        <v>0.30107194520314678</v>
      </c>
      <c r="AR196">
        <v>51.327404994559004</v>
      </c>
      <c r="AS196">
        <v>106.6</v>
      </c>
      <c r="AT196">
        <v>3281657367.6999998</v>
      </c>
      <c r="AU196">
        <v>2.916563451453039</v>
      </c>
      <c r="AV196">
        <v>-1997</v>
      </c>
      <c r="AX196">
        <v>-173300710</v>
      </c>
      <c r="AY196">
        <v>47.266101026165444</v>
      </c>
      <c r="AZ196">
        <v>951.23237869038655</v>
      </c>
      <c r="BB196">
        <v>7.967573616179453</v>
      </c>
    </row>
    <row r="197" spans="1:54" x14ac:dyDescent="0.25">
      <c r="A197">
        <v>195</v>
      </c>
      <c r="B197">
        <v>2022</v>
      </c>
      <c r="C197" t="s">
        <v>54</v>
      </c>
      <c r="D197" t="s">
        <v>445</v>
      </c>
      <c r="E197" t="s">
        <v>446</v>
      </c>
      <c r="F197">
        <v>105042</v>
      </c>
      <c r="G197">
        <v>-0.42558915148670501</v>
      </c>
      <c r="H197">
        <v>750</v>
      </c>
      <c r="J197">
        <v>566505587.55417359</v>
      </c>
      <c r="K197">
        <v>5390</v>
      </c>
      <c r="L197">
        <v>801686970.6687423</v>
      </c>
      <c r="M197">
        <v>7630</v>
      </c>
      <c r="O197">
        <v>72.635000000000005</v>
      </c>
      <c r="P197">
        <v>3.1709999999999998</v>
      </c>
      <c r="Q197">
        <v>24.957999999999998</v>
      </c>
      <c r="T197">
        <v>10.199999999999999</v>
      </c>
      <c r="V197">
        <v>99</v>
      </c>
      <c r="W197">
        <v>101.46573836570199</v>
      </c>
      <c r="X197">
        <v>96.996718063038003</v>
      </c>
      <c r="AA197">
        <v>89.5</v>
      </c>
      <c r="AE197">
        <v>556514555.40088236</v>
      </c>
      <c r="AF197">
        <v>-2.1285445240519323</v>
      </c>
      <c r="AG197">
        <v>9.1993513748314086</v>
      </c>
      <c r="AH197">
        <v>17.425626146848597</v>
      </c>
      <c r="AI197">
        <v>17.242144227329767</v>
      </c>
      <c r="AJ197">
        <v>10.7634075818954</v>
      </c>
      <c r="AK197">
        <v>59.36386807982803</v>
      </c>
      <c r="AL197">
        <v>27.326019896157099</v>
      </c>
      <c r="AM197">
        <v>22.319725342084638</v>
      </c>
      <c r="AP197">
        <v>61.7258</v>
      </c>
      <c r="AQ197">
        <v>0.55273702807016944</v>
      </c>
      <c r="AR197">
        <v>50.492839274901471</v>
      </c>
      <c r="AS197">
        <v>81</v>
      </c>
      <c r="AT197">
        <v>209927234.19999999</v>
      </c>
      <c r="AU197">
        <v>1.9007191471711724</v>
      </c>
      <c r="AV197">
        <v>-2218</v>
      </c>
      <c r="AW197">
        <v>27699985.375789002</v>
      </c>
      <c r="AX197">
        <v>2911551.9701483799</v>
      </c>
      <c r="AY197">
        <v>2808.8763332092781</v>
      </c>
      <c r="AZ197">
        <v>5298.0194150995067</v>
      </c>
      <c r="BA197">
        <v>-2503068.3385140202</v>
      </c>
      <c r="BB197">
        <v>10.97136529030216</v>
      </c>
    </row>
    <row r="198" spans="1:54" x14ac:dyDescent="0.25">
      <c r="A198">
        <v>196</v>
      </c>
      <c r="B198">
        <v>2022</v>
      </c>
      <c r="C198" t="s">
        <v>54</v>
      </c>
      <c r="D198" t="s">
        <v>447</v>
      </c>
      <c r="E198" t="s">
        <v>448</v>
      </c>
      <c r="F198">
        <v>1365805</v>
      </c>
      <c r="G198">
        <v>-0.128266918103601</v>
      </c>
      <c r="H198">
        <v>5130</v>
      </c>
      <c r="J198">
        <v>23851081344.989208</v>
      </c>
      <c r="K198">
        <v>17460</v>
      </c>
      <c r="L198">
        <v>42305910628.096718</v>
      </c>
      <c r="M198">
        <v>30980</v>
      </c>
      <c r="O198">
        <v>73.331000000000003</v>
      </c>
      <c r="P198">
        <v>1.544</v>
      </c>
      <c r="Q198">
        <v>36.768000000000001</v>
      </c>
      <c r="R198">
        <v>36.5</v>
      </c>
      <c r="T198">
        <v>19.600000000000001</v>
      </c>
      <c r="V198">
        <v>92</v>
      </c>
      <c r="AA198">
        <v>2273.5</v>
      </c>
      <c r="AB198">
        <v>63.830585884374315</v>
      </c>
      <c r="AC198">
        <v>11038.406847223945</v>
      </c>
      <c r="AD198">
        <v>6590.9848038336368</v>
      </c>
      <c r="AE198">
        <v>28341164301.126022</v>
      </c>
      <c r="AF198">
        <v>0.86126082651882996</v>
      </c>
      <c r="AG198">
        <v>15.926608295422582</v>
      </c>
      <c r="AH198">
        <v>0.76281565022841258</v>
      </c>
      <c r="AI198">
        <v>45.675783276547534</v>
      </c>
      <c r="AL198">
        <v>17.179257738700585</v>
      </c>
      <c r="AO198">
        <v>0.76563493184546905</v>
      </c>
      <c r="AP198">
        <v>133.63200000000001</v>
      </c>
      <c r="AQ198">
        <v>8.2227899858218712E-2</v>
      </c>
      <c r="AR198">
        <v>68.815098041773552</v>
      </c>
      <c r="AS198">
        <v>161.9</v>
      </c>
      <c r="AV198">
        <v>4247</v>
      </c>
      <c r="AW198">
        <v>170713719.34151199</v>
      </c>
      <c r="AX198">
        <v>1172466106.04211</v>
      </c>
      <c r="AZ198">
        <v>20750.520243465224</v>
      </c>
      <c r="BA198">
        <v>181600783.092044</v>
      </c>
      <c r="BB198">
        <v>5.8283863851795878</v>
      </c>
    </row>
    <row r="199" spans="1:54" x14ac:dyDescent="0.25">
      <c r="A199">
        <v>197</v>
      </c>
      <c r="B199">
        <v>2022</v>
      </c>
      <c r="C199" t="s">
        <v>54</v>
      </c>
      <c r="D199" t="s">
        <v>449</v>
      </c>
      <c r="E199" t="s">
        <v>450</v>
      </c>
      <c r="F199">
        <v>12119334</v>
      </c>
      <c r="G199">
        <v>0.58517320853368304</v>
      </c>
      <c r="H199">
        <v>163610</v>
      </c>
      <c r="J199">
        <v>47099433007.161446</v>
      </c>
      <c r="K199">
        <v>3890</v>
      </c>
      <c r="L199">
        <v>160699402007.07526</v>
      </c>
      <c r="M199">
        <v>13260</v>
      </c>
      <c r="O199">
        <v>76.05</v>
      </c>
      <c r="P199">
        <v>1.847</v>
      </c>
      <c r="Q199">
        <v>4.4749999999999996</v>
      </c>
      <c r="T199">
        <v>13.9</v>
      </c>
      <c r="V199">
        <v>95</v>
      </c>
      <c r="Z199">
        <v>0.1</v>
      </c>
      <c r="AA199">
        <v>7057.9</v>
      </c>
      <c r="AB199">
        <v>12.50369498698559</v>
      </c>
      <c r="AC199">
        <v>956.04111888720138</v>
      </c>
      <c r="AD199">
        <v>1595.4672096668019</v>
      </c>
      <c r="AE199">
        <v>44929920092.795464</v>
      </c>
      <c r="AF199">
        <v>2.7522876100438083</v>
      </c>
      <c r="AG199">
        <v>3.1660648528321929</v>
      </c>
      <c r="AH199">
        <v>10.821724772221206</v>
      </c>
      <c r="AI199">
        <v>25.962443839663806</v>
      </c>
      <c r="AJ199">
        <v>51.325939710780986</v>
      </c>
      <c r="AK199">
        <v>64.769854673364662</v>
      </c>
      <c r="AL199">
        <v>16.673802121991184</v>
      </c>
      <c r="AN199">
        <v>17.257631404609004</v>
      </c>
      <c r="AO199">
        <v>2.5712401122127</v>
      </c>
      <c r="AP199">
        <v>131.875</v>
      </c>
      <c r="AQ199">
        <v>7.1898860861442992</v>
      </c>
      <c r="AR199">
        <v>100.63895040679267</v>
      </c>
      <c r="AS199">
        <v>88.5</v>
      </c>
      <c r="AT199">
        <v>41041206300.800003</v>
      </c>
      <c r="AU199">
        <v>9.5702854775411819</v>
      </c>
      <c r="AV199">
        <v>-14001</v>
      </c>
      <c r="AW199">
        <v>41543837.325641997</v>
      </c>
      <c r="AX199">
        <v>643213141.17868996</v>
      </c>
      <c r="AY199">
        <v>99.060425821975855</v>
      </c>
      <c r="AZ199">
        <v>3707.2928341438123</v>
      </c>
      <c r="BA199">
        <v>-609667499.68102503</v>
      </c>
      <c r="BB199">
        <v>8.3064612444762336</v>
      </c>
    </row>
    <row r="200" spans="1:54" x14ac:dyDescent="0.25">
      <c r="A200">
        <v>198</v>
      </c>
      <c r="B200">
        <v>2022</v>
      </c>
      <c r="C200" t="s">
        <v>54</v>
      </c>
      <c r="D200" t="s">
        <v>451</v>
      </c>
      <c r="E200" t="s">
        <v>452</v>
      </c>
      <c r="F200">
        <v>84979913</v>
      </c>
      <c r="G200">
        <v>0.98458624446935905</v>
      </c>
      <c r="H200">
        <v>785350</v>
      </c>
      <c r="I200">
        <v>13.5</v>
      </c>
      <c r="J200">
        <v>923860423504.83826</v>
      </c>
      <c r="K200">
        <v>10870</v>
      </c>
      <c r="L200">
        <v>3360033507097.811</v>
      </c>
      <c r="M200">
        <v>39540</v>
      </c>
      <c r="N200">
        <v>5.4</v>
      </c>
      <c r="O200">
        <v>77.590999999999994</v>
      </c>
      <c r="P200">
        <v>1.63</v>
      </c>
      <c r="Q200">
        <v>12.202999999999999</v>
      </c>
      <c r="T200">
        <v>9.6</v>
      </c>
      <c r="V200">
        <v>95</v>
      </c>
      <c r="W200">
        <v>101.50051116943401</v>
      </c>
      <c r="X200">
        <v>116.040176391602</v>
      </c>
      <c r="AA200">
        <v>225323.6</v>
      </c>
      <c r="AB200">
        <v>18.814548084495378</v>
      </c>
      <c r="AC200">
        <v>1841.55630679263</v>
      </c>
      <c r="AD200">
        <v>3554.2281621305024</v>
      </c>
      <c r="AE200">
        <v>926097476913.8175</v>
      </c>
      <c r="AF200">
        <v>5.4412251132240073</v>
      </c>
      <c r="AG200">
        <v>95.525530270418159</v>
      </c>
      <c r="AH200">
        <v>6.6936096192260433</v>
      </c>
      <c r="AI200">
        <v>30.890102398727041</v>
      </c>
      <c r="AJ200">
        <v>38.141210747441569</v>
      </c>
      <c r="AK200">
        <v>41.757061483992516</v>
      </c>
      <c r="AL200">
        <v>38.602139717568008</v>
      </c>
      <c r="AM200">
        <v>27.271169113677562</v>
      </c>
      <c r="AN200">
        <v>35.634587959331064</v>
      </c>
      <c r="AO200">
        <v>1.65879843534611</v>
      </c>
      <c r="AP200">
        <v>103.721</v>
      </c>
      <c r="AQ200">
        <v>3.6640355487946232</v>
      </c>
      <c r="AR200">
        <v>66.718786672334275</v>
      </c>
      <c r="AS200">
        <v>76</v>
      </c>
      <c r="AT200">
        <v>455963245504.70001</v>
      </c>
      <c r="AU200">
        <v>7.5568607379536523</v>
      </c>
      <c r="AV200">
        <v>-301544</v>
      </c>
      <c r="AW200">
        <v>731000000</v>
      </c>
      <c r="AX200">
        <v>13784000000</v>
      </c>
      <c r="AY200">
        <v>9.4309410714248791</v>
      </c>
      <c r="AZ200">
        <v>10897.83978613649</v>
      </c>
      <c r="BA200">
        <v>-8850000000</v>
      </c>
      <c r="BB200">
        <v>72.308835989120709</v>
      </c>
    </row>
    <row r="201" spans="1:54" x14ac:dyDescent="0.25">
      <c r="A201">
        <v>199</v>
      </c>
      <c r="B201">
        <v>2022</v>
      </c>
      <c r="C201" t="s">
        <v>54</v>
      </c>
      <c r="D201" t="s">
        <v>453</v>
      </c>
      <c r="E201" t="s">
        <v>454</v>
      </c>
      <c r="F201">
        <v>7230193</v>
      </c>
      <c r="G201">
        <v>1.92922787802207</v>
      </c>
      <c r="H201">
        <v>491209</v>
      </c>
      <c r="J201">
        <v>45276200112.72303</v>
      </c>
      <c r="K201">
        <v>6260</v>
      </c>
      <c r="L201">
        <v>130866612994.81041</v>
      </c>
      <c r="M201">
        <v>18100</v>
      </c>
      <c r="O201">
        <v>69.912999999999997</v>
      </c>
      <c r="P201">
        <v>2.7280000000000002</v>
      </c>
      <c r="Q201">
        <v>22.303000000000001</v>
      </c>
      <c r="T201">
        <v>41</v>
      </c>
      <c r="V201">
        <v>98</v>
      </c>
      <c r="W201">
        <v>97.362155922687904</v>
      </c>
      <c r="X201">
        <v>92.451789855957003</v>
      </c>
      <c r="AA201">
        <v>41270</v>
      </c>
      <c r="AB201">
        <v>2.0802229474336085</v>
      </c>
      <c r="AC201">
        <v>5625.6452368666642</v>
      </c>
      <c r="AD201">
        <v>2829.2467434825044</v>
      </c>
      <c r="AE201">
        <v>42208726137.719208</v>
      </c>
      <c r="AF201">
        <v>6.1999999362169831</v>
      </c>
      <c r="AG201">
        <v>11.041882829850252</v>
      </c>
      <c r="AH201">
        <v>10.934487068923751</v>
      </c>
      <c r="AI201">
        <v>40.447766979002139</v>
      </c>
      <c r="AJ201">
        <v>24.87638201180221</v>
      </c>
      <c r="AK201">
        <v>12.48456894797531</v>
      </c>
      <c r="AR201">
        <v>40.245232572465198</v>
      </c>
      <c r="AS201">
        <v>265.7</v>
      </c>
      <c r="AT201">
        <v>4645434178.1000004</v>
      </c>
      <c r="AU201">
        <v>2.7279283796277203</v>
      </c>
      <c r="AV201">
        <v>14141</v>
      </c>
      <c r="AX201">
        <v>936039710</v>
      </c>
      <c r="AY201">
        <v>2.2579824994263085</v>
      </c>
      <c r="AZ201">
        <v>5837.8422453894673</v>
      </c>
    </row>
    <row r="202" spans="1:54" x14ac:dyDescent="0.25">
      <c r="A202">
        <v>200</v>
      </c>
      <c r="B202">
        <v>2022</v>
      </c>
      <c r="C202" t="s">
        <v>54</v>
      </c>
      <c r="D202" t="s">
        <v>455</v>
      </c>
      <c r="E202" t="s">
        <v>456</v>
      </c>
      <c r="F202">
        <v>45847</v>
      </c>
      <c r="G202">
        <v>1.32618037626777</v>
      </c>
      <c r="H202">
        <v>950</v>
      </c>
      <c r="J202">
        <v>1448167940.4050307</v>
      </c>
      <c r="K202">
        <v>31590</v>
      </c>
      <c r="L202">
        <v>1369882939.8789952</v>
      </c>
      <c r="M202">
        <v>29880</v>
      </c>
      <c r="O202">
        <v>77.918000000000006</v>
      </c>
      <c r="P202">
        <v>1.4770000000000001</v>
      </c>
      <c r="Q202">
        <v>16.581</v>
      </c>
      <c r="T202">
        <v>5.8</v>
      </c>
      <c r="W202">
        <v>111.40000152587901</v>
      </c>
      <c r="X202">
        <v>105.9765625</v>
      </c>
      <c r="AA202">
        <v>105.2</v>
      </c>
      <c r="AE202">
        <v>1434119000</v>
      </c>
      <c r="AF202">
        <v>14.087123416815288</v>
      </c>
      <c r="AG202">
        <v>1.6643854038641592</v>
      </c>
      <c r="AH202">
        <v>0.43301845941654771</v>
      </c>
      <c r="AI202">
        <v>10.049863365592394</v>
      </c>
      <c r="AR202">
        <v>32.981921304996305</v>
      </c>
      <c r="AS202">
        <v>92.3</v>
      </c>
      <c r="AV202">
        <v>193</v>
      </c>
      <c r="AX202">
        <v>35000000</v>
      </c>
      <c r="AZ202">
        <v>31280.541802080836</v>
      </c>
    </row>
    <row r="203" spans="1:54" x14ac:dyDescent="0.25">
      <c r="A203">
        <v>201</v>
      </c>
      <c r="B203">
        <v>2022</v>
      </c>
      <c r="C203" t="s">
        <v>54</v>
      </c>
      <c r="D203" t="s">
        <v>457</v>
      </c>
      <c r="E203" t="s">
        <v>458</v>
      </c>
      <c r="F203">
        <v>9992</v>
      </c>
      <c r="G203">
        <v>-2.00145390945735</v>
      </c>
      <c r="H203">
        <v>30</v>
      </c>
      <c r="J203">
        <v>80937989.356362507</v>
      </c>
      <c r="K203">
        <v>8100</v>
      </c>
      <c r="L203">
        <v>76226890.698973775</v>
      </c>
      <c r="M203">
        <v>7630</v>
      </c>
      <c r="O203">
        <v>66.852000000000004</v>
      </c>
      <c r="P203">
        <v>3.2440000000000002</v>
      </c>
      <c r="Q203">
        <v>28.094000000000001</v>
      </c>
      <c r="T203">
        <v>20.5</v>
      </c>
      <c r="V203">
        <v>90</v>
      </c>
      <c r="W203">
        <v>118.421052631579</v>
      </c>
      <c r="X203">
        <v>92.086889061287806</v>
      </c>
      <c r="Z203">
        <v>0.4</v>
      </c>
      <c r="AA203">
        <v>10</v>
      </c>
      <c r="AE203">
        <v>59065982.087365709</v>
      </c>
      <c r="AF203">
        <v>0.67730936143830434</v>
      </c>
      <c r="AG203">
        <v>5.5475564798092734</v>
      </c>
      <c r="AP203">
        <v>98.859099999999998</v>
      </c>
      <c r="AR203">
        <v>57.562743898357439</v>
      </c>
      <c r="AV203">
        <v>-320</v>
      </c>
      <c r="AW203">
        <v>1799603.18357448</v>
      </c>
      <c r="AX203">
        <v>199430</v>
      </c>
      <c r="AY203">
        <v>6355.4566797969674</v>
      </c>
      <c r="AZ203">
        <v>5911.3272705530135</v>
      </c>
      <c r="BA203">
        <v>0</v>
      </c>
    </row>
    <row r="204" spans="1:54" x14ac:dyDescent="0.25">
      <c r="A204">
        <v>202</v>
      </c>
      <c r="B204">
        <v>2022</v>
      </c>
      <c r="C204" t="s">
        <v>54</v>
      </c>
      <c r="D204" t="s">
        <v>459</v>
      </c>
      <c r="E204" t="s">
        <v>460</v>
      </c>
      <c r="F204">
        <v>47312719</v>
      </c>
      <c r="G204">
        <v>3.00759449042677</v>
      </c>
      <c r="H204">
        <v>241550</v>
      </c>
      <c r="J204">
        <v>43852321719.086769</v>
      </c>
      <c r="K204">
        <v>930</v>
      </c>
      <c r="L204">
        <v>135174815983.08818</v>
      </c>
      <c r="M204">
        <v>2860</v>
      </c>
      <c r="O204">
        <v>67.674999999999997</v>
      </c>
      <c r="P204">
        <v>4.3879999999999999</v>
      </c>
      <c r="Q204">
        <v>108.697</v>
      </c>
      <c r="R204">
        <v>43</v>
      </c>
      <c r="T204">
        <v>40.5</v>
      </c>
      <c r="U204">
        <v>9.6999999999999993</v>
      </c>
      <c r="V204">
        <v>90</v>
      </c>
      <c r="Z204">
        <v>5.4</v>
      </c>
      <c r="AA204">
        <v>22553.911</v>
      </c>
      <c r="AB204">
        <v>69.304893076332775</v>
      </c>
      <c r="AC204">
        <v>482.82162153666758</v>
      </c>
      <c r="AD204">
        <v>89.870125620977305</v>
      </c>
      <c r="AE204">
        <v>45565333210.910789</v>
      </c>
      <c r="AF204">
        <v>4.5880219218177274</v>
      </c>
      <c r="AG204">
        <v>4.9222867309914875</v>
      </c>
      <c r="AH204">
        <v>24.011722052955268</v>
      </c>
      <c r="AI204">
        <v>26.766148633372634</v>
      </c>
      <c r="AJ204">
        <v>12.021995433333059</v>
      </c>
      <c r="AK204">
        <v>22.483306493760676</v>
      </c>
      <c r="AL204">
        <v>24.201342621546008</v>
      </c>
      <c r="AM204">
        <v>13.778594096499594</v>
      </c>
      <c r="AO204">
        <v>1.8452085708979198</v>
      </c>
      <c r="AP204">
        <v>70.140100000000004</v>
      </c>
      <c r="AQ204">
        <v>2.3957148630879121</v>
      </c>
      <c r="AR204">
        <v>29.243723376984498</v>
      </c>
      <c r="AS204">
        <v>104.1</v>
      </c>
      <c r="AT204">
        <v>21041076730.200001</v>
      </c>
      <c r="AU204">
        <v>2.320480039100691</v>
      </c>
      <c r="AV204">
        <v>-118843</v>
      </c>
      <c r="AW204">
        <v>245388593.776335</v>
      </c>
      <c r="AX204">
        <v>2952941687.83427</v>
      </c>
      <c r="AY204">
        <v>45.589488240664835</v>
      </c>
      <c r="AZ204">
        <v>963.06731411717828</v>
      </c>
      <c r="BA204">
        <v>-2952578038.6177797</v>
      </c>
      <c r="BB204">
        <v>7.1957888597581032</v>
      </c>
    </row>
    <row r="205" spans="1:54" x14ac:dyDescent="0.25">
      <c r="A205">
        <v>203</v>
      </c>
      <c r="B205">
        <v>2022</v>
      </c>
      <c r="C205" t="s">
        <v>54</v>
      </c>
      <c r="D205" t="s">
        <v>461</v>
      </c>
      <c r="E205" t="s">
        <v>462</v>
      </c>
      <c r="F205">
        <v>41048766</v>
      </c>
      <c r="G205">
        <v>-7.6193202260316397</v>
      </c>
      <c r="H205">
        <v>603550</v>
      </c>
      <c r="J205">
        <v>151667907906.32736</v>
      </c>
      <c r="K205">
        <v>3930</v>
      </c>
      <c r="L205">
        <v>599537862448.30005</v>
      </c>
      <c r="M205">
        <v>15540</v>
      </c>
      <c r="O205">
        <v>72.658000000000001</v>
      </c>
      <c r="P205">
        <v>0.89700000000000002</v>
      </c>
      <c r="Q205">
        <v>10.271000000000001</v>
      </c>
      <c r="T205">
        <v>8.5</v>
      </c>
      <c r="V205">
        <v>74</v>
      </c>
      <c r="AA205">
        <v>97020</v>
      </c>
      <c r="AB205">
        <v>14.875725772937901</v>
      </c>
      <c r="AC205">
        <v>1479.4722495393942</v>
      </c>
      <c r="AD205">
        <v>2419.5855242030907</v>
      </c>
      <c r="AE205">
        <v>161989520721.19049</v>
      </c>
      <c r="AF205">
        <v>-28.758584215508492</v>
      </c>
      <c r="AG205">
        <v>34.915285143493207</v>
      </c>
      <c r="AH205">
        <v>8.5729762704151895</v>
      </c>
      <c r="AI205">
        <v>18.010831602442703</v>
      </c>
      <c r="AJ205">
        <v>35.445115338204133</v>
      </c>
      <c r="AK205">
        <v>51.951398652520254</v>
      </c>
      <c r="AL205">
        <v>12.113288620938578</v>
      </c>
      <c r="AM205">
        <v>29.281086458511879</v>
      </c>
      <c r="AO205">
        <v>25.642410471541599</v>
      </c>
      <c r="AP205">
        <v>120.261</v>
      </c>
      <c r="AQ205">
        <v>5.7361356562301866</v>
      </c>
      <c r="AR205">
        <v>61.379279077645563</v>
      </c>
      <c r="AS205">
        <v>99.4</v>
      </c>
      <c r="AT205">
        <v>143390581298</v>
      </c>
      <c r="AU205">
        <v>5.5630244755014733</v>
      </c>
      <c r="AV205">
        <v>-5699445</v>
      </c>
      <c r="AW205">
        <v>2036000000</v>
      </c>
      <c r="AX205">
        <v>221000000</v>
      </c>
      <c r="AY205">
        <v>699.13723358029813</v>
      </c>
      <c r="AZ205">
        <v>4199.6708984375</v>
      </c>
      <c r="BA205">
        <v>-187000000</v>
      </c>
      <c r="BB205">
        <v>20.183636661747801</v>
      </c>
    </row>
    <row r="206" spans="1:54" x14ac:dyDescent="0.25">
      <c r="A206">
        <v>204</v>
      </c>
      <c r="B206">
        <v>2022</v>
      </c>
      <c r="C206" t="s">
        <v>54</v>
      </c>
      <c r="D206" t="s">
        <v>463</v>
      </c>
      <c r="E206" t="s">
        <v>464</v>
      </c>
      <c r="F206">
        <v>10074977</v>
      </c>
      <c r="G206">
        <v>5.0883415337391398</v>
      </c>
      <c r="H206">
        <v>98647.9</v>
      </c>
      <c r="J206">
        <v>473376189121.22107</v>
      </c>
      <c r="K206">
        <v>46990</v>
      </c>
      <c r="L206">
        <v>756425776465.23645</v>
      </c>
      <c r="M206">
        <v>75080</v>
      </c>
      <c r="O206">
        <v>80.486999999999995</v>
      </c>
      <c r="P206">
        <v>1.1479999999999999</v>
      </c>
      <c r="Q206">
        <v>2.879</v>
      </c>
      <c r="T206">
        <v>5.3</v>
      </c>
      <c r="V206">
        <v>98</v>
      </c>
      <c r="W206">
        <v>102.456393452687</v>
      </c>
      <c r="X206">
        <v>102.380981445312</v>
      </c>
      <c r="Z206">
        <v>0.1</v>
      </c>
      <c r="AA206">
        <v>3173</v>
      </c>
      <c r="AB206">
        <v>186.06637506780311</v>
      </c>
      <c r="AC206">
        <v>8335.8095716268344</v>
      </c>
      <c r="AD206">
        <v>14687.973977508833</v>
      </c>
      <c r="AE206">
        <v>511403403675.97009</v>
      </c>
      <c r="AF206">
        <v>7.5144842580108246</v>
      </c>
      <c r="AG206">
        <v>12.597870386080842</v>
      </c>
      <c r="AH206">
        <v>0.74089692454565159</v>
      </c>
      <c r="AI206">
        <v>49.333299256866809</v>
      </c>
      <c r="AJ206">
        <v>102.05198897413329</v>
      </c>
      <c r="AK206">
        <v>83.689672008685235</v>
      </c>
      <c r="AL206">
        <v>26.058486930343978</v>
      </c>
      <c r="AM206">
        <v>3.2127497584031763</v>
      </c>
      <c r="AN206">
        <v>170.81666522374127</v>
      </c>
      <c r="AP206">
        <v>195.625</v>
      </c>
      <c r="AQ206">
        <v>9.2877602243891015</v>
      </c>
      <c r="AR206">
        <v>183.04805820047503</v>
      </c>
      <c r="AS206">
        <v>122.6</v>
      </c>
      <c r="AV206">
        <v>322773</v>
      </c>
      <c r="AX206">
        <v>22736555480</v>
      </c>
      <c r="AZ206">
        <v>50759.758923119138</v>
      </c>
      <c r="BB206">
        <v>5.2912260437684937</v>
      </c>
    </row>
    <row r="207" spans="1:54" x14ac:dyDescent="0.25">
      <c r="A207">
        <v>205</v>
      </c>
      <c r="B207">
        <v>2022</v>
      </c>
      <c r="C207" t="s">
        <v>54</v>
      </c>
      <c r="D207" t="s">
        <v>465</v>
      </c>
      <c r="E207" t="s">
        <v>466</v>
      </c>
      <c r="F207">
        <v>67604000</v>
      </c>
      <c r="G207">
        <v>0.92133679938509805</v>
      </c>
      <c r="H207">
        <v>243610</v>
      </c>
      <c r="J207">
        <v>3360990291074.751</v>
      </c>
      <c r="K207">
        <v>49720</v>
      </c>
      <c r="L207">
        <v>3979474727220.0488</v>
      </c>
      <c r="M207">
        <v>58860</v>
      </c>
      <c r="O207">
        <v>81.011219512195112</v>
      </c>
      <c r="P207">
        <v>1.56</v>
      </c>
      <c r="Q207">
        <v>8.3789999999999996</v>
      </c>
      <c r="T207">
        <v>4.5</v>
      </c>
      <c r="V207">
        <v>90</v>
      </c>
      <c r="W207">
        <v>100.381553649902</v>
      </c>
      <c r="X207">
        <v>113.257041931152</v>
      </c>
      <c r="Z207">
        <v>0.2</v>
      </c>
      <c r="AA207">
        <v>32069</v>
      </c>
      <c r="AB207">
        <v>388.91378987257303</v>
      </c>
      <c r="AC207">
        <v>2254.3694158272147</v>
      </c>
      <c r="AD207">
        <v>4326.1937163481452</v>
      </c>
      <c r="AE207">
        <v>3181244350465.4146</v>
      </c>
      <c r="AF207">
        <v>5.1497038852299255</v>
      </c>
      <c r="AG207">
        <v>5.6786420431308215</v>
      </c>
      <c r="AH207">
        <v>0.68110605827546378</v>
      </c>
      <c r="AI207">
        <v>16.819859671771894</v>
      </c>
      <c r="AJ207">
        <v>34.061928383706928</v>
      </c>
      <c r="AK207">
        <v>35.13699805769118</v>
      </c>
      <c r="AL207">
        <v>18.346856137025565</v>
      </c>
      <c r="AM207">
        <v>35.823257259248436</v>
      </c>
      <c r="AN207">
        <v>97.319887720886925</v>
      </c>
      <c r="AO207">
        <v>2.0569185546253399</v>
      </c>
      <c r="AP207">
        <v>119.834</v>
      </c>
      <c r="AQ207">
        <v>27.159770819234762</v>
      </c>
      <c r="AR207">
        <v>43.056830884418147</v>
      </c>
      <c r="AS207">
        <v>90.3</v>
      </c>
      <c r="AV207">
        <v>487029</v>
      </c>
      <c r="AW207">
        <v>10917818776.9587</v>
      </c>
      <c r="AX207">
        <v>92776358059.349197</v>
      </c>
      <c r="AZ207">
        <v>47057.043229178962</v>
      </c>
      <c r="BA207">
        <v>50849584601.286499</v>
      </c>
      <c r="BB207">
        <v>7.9220488314790227</v>
      </c>
    </row>
    <row r="208" spans="1:54" x14ac:dyDescent="0.25">
      <c r="A208">
        <v>206</v>
      </c>
      <c r="B208">
        <v>2022</v>
      </c>
      <c r="C208" t="s">
        <v>54</v>
      </c>
      <c r="D208" t="s">
        <v>467</v>
      </c>
      <c r="E208" t="s">
        <v>468</v>
      </c>
      <c r="F208">
        <v>334017321</v>
      </c>
      <c r="G208">
        <v>0.57574452049452096</v>
      </c>
      <c r="H208">
        <v>9831510</v>
      </c>
      <c r="J208">
        <v>25830260548716.254</v>
      </c>
      <c r="K208">
        <v>77330</v>
      </c>
      <c r="L208">
        <v>26156164000000</v>
      </c>
      <c r="M208">
        <v>78310</v>
      </c>
      <c r="N208">
        <v>5.2</v>
      </c>
      <c r="O208">
        <v>77.434146341463432</v>
      </c>
      <c r="P208">
        <v>1.6565000000000001</v>
      </c>
      <c r="Q208">
        <v>13.628</v>
      </c>
      <c r="T208">
        <v>6.5</v>
      </c>
      <c r="V208">
        <v>92</v>
      </c>
      <c r="W208">
        <v>95.743522644042997</v>
      </c>
      <c r="X208">
        <v>97.473487854003906</v>
      </c>
      <c r="AA208">
        <v>3097950</v>
      </c>
      <c r="AB208">
        <v>48.029608052893366</v>
      </c>
      <c r="AC208">
        <v>6511.6884139454551</v>
      </c>
      <c r="AD208">
        <v>12968.162809736445</v>
      </c>
      <c r="AE208">
        <v>25604848907611</v>
      </c>
      <c r="AF208">
        <v>2.512375319860169</v>
      </c>
      <c r="AG208">
        <v>7.1294808541819492</v>
      </c>
      <c r="AJ208">
        <v>11.784404629324289</v>
      </c>
      <c r="AK208">
        <v>15.529535106212039</v>
      </c>
      <c r="AL208">
        <v>22.294425640227743</v>
      </c>
      <c r="AM208">
        <v>20.240678703866447</v>
      </c>
      <c r="AN208">
        <v>157.38417541695196</v>
      </c>
      <c r="AO208">
        <v>3.3094771584310898</v>
      </c>
      <c r="AP208">
        <v>108.786</v>
      </c>
      <c r="AQ208">
        <v>20.578983300737853</v>
      </c>
      <c r="AR208">
        <v>21.233899952379286</v>
      </c>
      <c r="AS208">
        <v>109</v>
      </c>
      <c r="AV208">
        <v>1319009</v>
      </c>
      <c r="AW208">
        <v>88741000000</v>
      </c>
      <c r="AX208">
        <v>416890000000</v>
      </c>
      <c r="AZ208">
        <v>76657.248884440341</v>
      </c>
      <c r="BA208">
        <v>-28043000000</v>
      </c>
      <c r="BB208">
        <v>8.0027998205212096</v>
      </c>
    </row>
    <row r="209" spans="1:54" x14ac:dyDescent="0.25">
      <c r="A209">
        <v>207</v>
      </c>
      <c r="B209">
        <v>2022</v>
      </c>
      <c r="C209" t="s">
        <v>54</v>
      </c>
      <c r="D209" t="s">
        <v>469</v>
      </c>
      <c r="E209" t="s">
        <v>470</v>
      </c>
      <c r="F209">
        <v>3390913</v>
      </c>
      <c r="G209">
        <v>-0.17036933772709301</v>
      </c>
      <c r="H209">
        <v>176220</v>
      </c>
      <c r="I209">
        <v>9.9</v>
      </c>
      <c r="J209">
        <v>60918641270.414055</v>
      </c>
      <c r="K209">
        <v>17970</v>
      </c>
      <c r="L209">
        <v>101497118027.6718</v>
      </c>
      <c r="M209">
        <v>29930</v>
      </c>
      <c r="N209">
        <v>5.6</v>
      </c>
      <c r="O209">
        <v>76.468000000000004</v>
      </c>
      <c r="P209">
        <v>1.425</v>
      </c>
      <c r="Q209">
        <v>26.486999999999998</v>
      </c>
      <c r="T209">
        <v>6.8</v>
      </c>
      <c r="V209">
        <v>96</v>
      </c>
      <c r="W209">
        <v>100.22295110082101</v>
      </c>
      <c r="X209">
        <v>121.13793019120401</v>
      </c>
      <c r="AA209">
        <v>20730</v>
      </c>
      <c r="AB209">
        <v>13.713013459916471</v>
      </c>
      <c r="AC209">
        <v>1626.0603493557132</v>
      </c>
      <c r="AD209">
        <v>3589.888622916601</v>
      </c>
      <c r="AE209">
        <v>70594110920.035782</v>
      </c>
      <c r="AF209">
        <v>4.4862270307207268</v>
      </c>
      <c r="AG209">
        <v>5.1476805114519948</v>
      </c>
      <c r="AH209">
        <v>6.9184027757707378</v>
      </c>
      <c r="AI209">
        <v>17.708654210861688</v>
      </c>
      <c r="AJ209">
        <v>33.33161301332629</v>
      </c>
      <c r="AK209">
        <v>27.699182091055853</v>
      </c>
      <c r="AL209">
        <v>18.655184562811638</v>
      </c>
      <c r="AM209">
        <v>29.688869632773613</v>
      </c>
      <c r="AO209">
        <v>2.0427836429767101</v>
      </c>
      <c r="AP209">
        <v>139.82900000000001</v>
      </c>
      <c r="AQ209">
        <v>9.5516002328740814</v>
      </c>
      <c r="AR209">
        <v>34.219568297082752</v>
      </c>
      <c r="AS209">
        <v>97.3</v>
      </c>
      <c r="AV209">
        <v>-1501</v>
      </c>
      <c r="AW209">
        <v>127108442.549402</v>
      </c>
      <c r="AX209">
        <v>8810431894.6504002</v>
      </c>
      <c r="AZ209">
        <v>20818.614609114353</v>
      </c>
      <c r="BA209">
        <v>-2878803603.9144301</v>
      </c>
      <c r="BB209">
        <v>9.1043798307543682</v>
      </c>
    </row>
    <row r="210" spans="1:54" x14ac:dyDescent="0.25">
      <c r="A210">
        <v>208</v>
      </c>
      <c r="B210">
        <v>2022</v>
      </c>
      <c r="C210" t="s">
        <v>54</v>
      </c>
      <c r="D210" t="s">
        <v>471</v>
      </c>
      <c r="E210" t="s">
        <v>472</v>
      </c>
      <c r="F210">
        <v>34938955</v>
      </c>
      <c r="G210">
        <v>2.0099906470971498</v>
      </c>
      <c r="H210">
        <v>448924</v>
      </c>
      <c r="I210">
        <v>14.1</v>
      </c>
      <c r="J210">
        <v>87231955128.389038</v>
      </c>
      <c r="K210">
        <v>2500</v>
      </c>
      <c r="L210">
        <v>363656157343.48669</v>
      </c>
      <c r="M210">
        <v>10410</v>
      </c>
      <c r="N210">
        <v>7.2</v>
      </c>
      <c r="O210">
        <v>72.147000000000006</v>
      </c>
      <c r="P210">
        <v>3.3959999999999999</v>
      </c>
      <c r="Q210">
        <v>34.417999999999999</v>
      </c>
      <c r="R210">
        <v>58.8</v>
      </c>
      <c r="S210">
        <v>99</v>
      </c>
      <c r="T210">
        <v>13.8</v>
      </c>
      <c r="V210">
        <v>99</v>
      </c>
      <c r="W210">
        <v>98.236947339682303</v>
      </c>
      <c r="X210">
        <v>97.377981961840504</v>
      </c>
      <c r="AA210">
        <v>37413.4</v>
      </c>
      <c r="AB210">
        <v>2.9129767564397024</v>
      </c>
      <c r="AC210">
        <v>1381.8044877167649</v>
      </c>
      <c r="AD210">
        <v>2094.0523264075873</v>
      </c>
      <c r="AE210">
        <v>90095926567.435898</v>
      </c>
      <c r="AF210">
        <v>6.001342322034418</v>
      </c>
      <c r="AG210">
        <v>14.462656351308397</v>
      </c>
      <c r="AH210">
        <v>20.97377168914149</v>
      </c>
      <c r="AI210">
        <v>31.481350750711158</v>
      </c>
      <c r="AJ210">
        <v>23.267031040751096</v>
      </c>
      <c r="AK210">
        <v>39.574221497100623</v>
      </c>
      <c r="AL210">
        <v>34.866741910999856</v>
      </c>
      <c r="AM210">
        <v>21.092879061700593</v>
      </c>
      <c r="AN210">
        <v>9.353164256202648</v>
      </c>
      <c r="AP210">
        <v>105.47199999999999</v>
      </c>
      <c r="AQ210">
        <v>1.4121024073545101</v>
      </c>
      <c r="AR210">
        <v>48.277432351443416</v>
      </c>
      <c r="AS210">
        <v>127.5</v>
      </c>
      <c r="AT210">
        <v>53592822615.900002</v>
      </c>
      <c r="AU210">
        <v>8.3061685724240562</v>
      </c>
      <c r="AV210">
        <v>-5007</v>
      </c>
      <c r="AW210">
        <v>625458701.54993403</v>
      </c>
      <c r="AX210">
        <v>2657356365.09623</v>
      </c>
      <c r="AY210">
        <v>45.353698753833648</v>
      </c>
      <c r="AZ210">
        <v>2578.6668939421884</v>
      </c>
      <c r="BA210">
        <v>-2653272400.5716</v>
      </c>
      <c r="BB210">
        <v>11.446643699883589</v>
      </c>
    </row>
    <row r="211" spans="1:54" x14ac:dyDescent="0.25">
      <c r="A211">
        <v>209</v>
      </c>
      <c r="B211">
        <v>2022</v>
      </c>
      <c r="C211" t="s">
        <v>54</v>
      </c>
      <c r="D211" t="s">
        <v>473</v>
      </c>
      <c r="E211" t="s">
        <v>474</v>
      </c>
      <c r="F211">
        <v>313046</v>
      </c>
      <c r="G211">
        <v>2.3196508262649198</v>
      </c>
      <c r="H211">
        <v>12190</v>
      </c>
      <c r="J211">
        <v>1199035049.7413228</v>
      </c>
      <c r="K211">
        <v>3830</v>
      </c>
      <c r="L211">
        <v>1241986954.3660531</v>
      </c>
      <c r="M211">
        <v>3970</v>
      </c>
      <c r="O211">
        <v>71.302000000000007</v>
      </c>
      <c r="P211">
        <v>3.6469999999999998</v>
      </c>
      <c r="Q211">
        <v>67.185000000000002</v>
      </c>
      <c r="T211">
        <v>17.100000000000001</v>
      </c>
      <c r="V211">
        <v>70</v>
      </c>
      <c r="W211">
        <v>115.833673565014</v>
      </c>
      <c r="X211">
        <v>81.955127632538506</v>
      </c>
      <c r="Z211">
        <v>0.1</v>
      </c>
      <c r="AA211">
        <v>4423</v>
      </c>
      <c r="AE211">
        <v>1055031360.5735643</v>
      </c>
      <c r="AF211">
        <v>5.1862286242256204</v>
      </c>
      <c r="AG211">
        <v>11.226803565689323</v>
      </c>
      <c r="AH211">
        <v>24.305270250283478</v>
      </c>
      <c r="AI211">
        <v>7.3721056350758412</v>
      </c>
      <c r="AJ211">
        <v>9.4254819148411695</v>
      </c>
      <c r="AK211">
        <v>54.174130252584185</v>
      </c>
      <c r="AL211">
        <v>38.316543688682195</v>
      </c>
      <c r="AM211">
        <v>23.500293425744854</v>
      </c>
      <c r="AP211">
        <v>81.6203</v>
      </c>
      <c r="AR211">
        <v>38.861404060738522</v>
      </c>
      <c r="AS211">
        <v>89.9</v>
      </c>
      <c r="AT211">
        <v>463433624.10000002</v>
      </c>
      <c r="AU211">
        <v>1.8267824894831746</v>
      </c>
      <c r="AV211">
        <v>0</v>
      </c>
      <c r="AW211">
        <v>19056859.007426299</v>
      </c>
      <c r="AX211">
        <v>10694983.215024101</v>
      </c>
      <c r="AY211">
        <v>399.29829328759348</v>
      </c>
      <c r="AZ211">
        <v>3370.2119195695336</v>
      </c>
      <c r="BA211">
        <v>-9205106.9795768596</v>
      </c>
      <c r="BB211">
        <v>6.6793058188712129</v>
      </c>
    </row>
    <row r="212" spans="1:54" x14ac:dyDescent="0.25">
      <c r="A212">
        <v>210</v>
      </c>
      <c r="B212">
        <v>2022</v>
      </c>
      <c r="C212" t="s">
        <v>54</v>
      </c>
      <c r="D212" t="s">
        <v>475</v>
      </c>
      <c r="E212" t="s">
        <v>476</v>
      </c>
      <c r="F212">
        <v>28213017</v>
      </c>
      <c r="G212">
        <v>-8.7895947265922994E-2</v>
      </c>
      <c r="H212">
        <v>912050</v>
      </c>
      <c r="J212">
        <v>63861854680.362167</v>
      </c>
      <c r="K212">
        <v>2260</v>
      </c>
      <c r="O212">
        <v>72.566000000000003</v>
      </c>
      <c r="P212">
        <v>2.0880000000000001</v>
      </c>
      <c r="Q212">
        <v>73.025999999999996</v>
      </c>
      <c r="T212">
        <v>24.3</v>
      </c>
      <c r="V212">
        <v>52</v>
      </c>
      <c r="W212">
        <v>102.55387878418</v>
      </c>
      <c r="X212">
        <v>96.790672302246094</v>
      </c>
      <c r="Z212">
        <v>0.5</v>
      </c>
      <c r="AA212">
        <v>461267.8</v>
      </c>
      <c r="AB212">
        <v>1.721107143284434</v>
      </c>
      <c r="AC212">
        <v>1478.0643430568769</v>
      </c>
      <c r="AD212">
        <v>1989.223626810277</v>
      </c>
      <c r="AE212">
        <v>89013255584.749924</v>
      </c>
      <c r="AF212">
        <v>8.0009131065479124</v>
      </c>
      <c r="AG212">
        <v>211.01823380224459</v>
      </c>
      <c r="AJ212">
        <v>16.349207455802038</v>
      </c>
      <c r="AK212">
        <v>11.549069609200185</v>
      </c>
      <c r="AL212">
        <v>6.1685380172369619</v>
      </c>
      <c r="AO212">
        <v>0.64988678893936502</v>
      </c>
      <c r="AP212">
        <v>66.466800000000006</v>
      </c>
      <c r="AR212">
        <v>16.727845647464452</v>
      </c>
      <c r="AV212">
        <v>-141107</v>
      </c>
      <c r="AX212">
        <v>2349000000</v>
      </c>
      <c r="AY212">
        <v>9.6962885591100729</v>
      </c>
      <c r="AZ212">
        <v>3155.0420709968707</v>
      </c>
    </row>
    <row r="213" spans="1:54" x14ac:dyDescent="0.25">
      <c r="A213">
        <v>211</v>
      </c>
      <c r="B213">
        <v>2022</v>
      </c>
      <c r="C213" t="s">
        <v>54</v>
      </c>
      <c r="D213" t="s">
        <v>477</v>
      </c>
      <c r="E213" t="s">
        <v>478</v>
      </c>
      <c r="F213">
        <v>99680655</v>
      </c>
      <c r="G213">
        <v>0.75075666515778905</v>
      </c>
      <c r="H213">
        <v>331340</v>
      </c>
      <c r="I213">
        <v>4.2</v>
      </c>
      <c r="J213">
        <v>397041416272.18616</v>
      </c>
      <c r="K213">
        <v>3980</v>
      </c>
      <c r="L213">
        <v>1319311471158.5088</v>
      </c>
      <c r="M213">
        <v>13240</v>
      </c>
      <c r="N213">
        <v>6.8</v>
      </c>
      <c r="O213">
        <v>74.501999999999995</v>
      </c>
      <c r="P213">
        <v>1.927</v>
      </c>
      <c r="Q213">
        <v>34.625999999999998</v>
      </c>
      <c r="T213">
        <v>20.399999999999999</v>
      </c>
      <c r="U213">
        <v>10.199999999999999</v>
      </c>
      <c r="V213">
        <v>88</v>
      </c>
      <c r="W213">
        <v>100.77951674624801</v>
      </c>
      <c r="X213">
        <v>93.412343409652195</v>
      </c>
      <c r="Z213">
        <v>0.5</v>
      </c>
      <c r="AA213">
        <v>147948.9</v>
      </c>
      <c r="AB213">
        <v>4.4051089496672935</v>
      </c>
      <c r="AC213">
        <v>1023.0571362686973</v>
      </c>
      <c r="AD213">
        <v>2624.4008930318528</v>
      </c>
      <c r="AE213">
        <v>413445230668.57819</v>
      </c>
      <c r="AF213">
        <v>8.5375004675578765</v>
      </c>
      <c r="AG213">
        <v>4.4428330495188959</v>
      </c>
      <c r="AH213">
        <v>11.880299830258508</v>
      </c>
      <c r="AI213">
        <v>38.482361239834098</v>
      </c>
      <c r="AJ213">
        <v>93.420129043510968</v>
      </c>
      <c r="AK213">
        <v>89.733490104324858</v>
      </c>
      <c r="AL213">
        <v>32.340499444496054</v>
      </c>
      <c r="AN213">
        <v>41.154727973242906</v>
      </c>
      <c r="AP213">
        <v>137.852</v>
      </c>
      <c r="AQ213">
        <v>42.689178907016</v>
      </c>
      <c r="AR213">
        <v>176.67055895621752</v>
      </c>
      <c r="AS213">
        <v>100.3</v>
      </c>
      <c r="AT213">
        <v>146621789309.10001</v>
      </c>
      <c r="AU213">
        <v>6.6632654880015751</v>
      </c>
      <c r="AV213">
        <v>-78977</v>
      </c>
      <c r="AX213">
        <v>17900000000</v>
      </c>
      <c r="AY213">
        <v>0.50197412301313626</v>
      </c>
      <c r="AZ213">
        <v>4147.69777213621</v>
      </c>
      <c r="BA213">
        <v>-15226000000</v>
      </c>
      <c r="BB213">
        <v>3.1565074996312932</v>
      </c>
    </row>
    <row r="214" spans="1:54" x14ac:dyDescent="0.25">
      <c r="A214">
        <v>212</v>
      </c>
      <c r="B214">
        <v>2022</v>
      </c>
      <c r="C214" t="s">
        <v>54</v>
      </c>
      <c r="D214" t="s">
        <v>479</v>
      </c>
      <c r="E214" t="s">
        <v>480</v>
      </c>
      <c r="F214">
        <v>105413</v>
      </c>
      <c r="G214">
        <v>-0.432595819529278</v>
      </c>
      <c r="H214">
        <v>350</v>
      </c>
      <c r="O214">
        <v>80.319512195121959</v>
      </c>
      <c r="P214">
        <v>2</v>
      </c>
      <c r="Q214">
        <v>31.701000000000001</v>
      </c>
      <c r="AA214">
        <v>202.1</v>
      </c>
      <c r="AE214">
        <v>4672000000</v>
      </c>
      <c r="AF214">
        <v>-1.3112320633349839</v>
      </c>
      <c r="AG214">
        <v>5.0382672607046857</v>
      </c>
      <c r="AJ214">
        <v>97.367294520547944</v>
      </c>
      <c r="AK214">
        <v>108.26198630136987</v>
      </c>
      <c r="AP214">
        <v>91.462000000000003</v>
      </c>
      <c r="AV214">
        <v>-444</v>
      </c>
      <c r="AZ214">
        <v>44320.90918577405</v>
      </c>
    </row>
    <row r="215" spans="1:54" x14ac:dyDescent="0.25">
      <c r="A215">
        <v>213</v>
      </c>
      <c r="B215">
        <v>2022</v>
      </c>
      <c r="C215" t="s">
        <v>54</v>
      </c>
      <c r="D215" t="s">
        <v>481</v>
      </c>
      <c r="E215" t="s">
        <v>482</v>
      </c>
      <c r="F215">
        <v>5043612</v>
      </c>
      <c r="G215">
        <v>2.4255377762386301</v>
      </c>
      <c r="H215">
        <v>6025</v>
      </c>
      <c r="J215">
        <v>23810735951.719326</v>
      </c>
      <c r="K215">
        <v>4720</v>
      </c>
      <c r="L215">
        <v>38428309720.298012</v>
      </c>
      <c r="M215">
        <v>7620</v>
      </c>
      <c r="O215">
        <v>76.662000000000006</v>
      </c>
      <c r="P215">
        <v>3.375</v>
      </c>
      <c r="Q215">
        <v>36.837000000000003</v>
      </c>
      <c r="T215">
        <v>14.2</v>
      </c>
      <c r="V215">
        <v>97</v>
      </c>
      <c r="W215">
        <v>93.766356471726297</v>
      </c>
      <c r="X215">
        <v>90.136480287411302</v>
      </c>
      <c r="AA215">
        <v>101.4</v>
      </c>
      <c r="AE215">
        <v>19165500000</v>
      </c>
      <c r="AF215">
        <v>4.0827602734710524</v>
      </c>
      <c r="AG215">
        <v>1.6826565273999137</v>
      </c>
      <c r="AH215">
        <v>5.7452192742166917</v>
      </c>
      <c r="AI215">
        <v>17.392710860661083</v>
      </c>
      <c r="AJ215">
        <v>18.436252641465135</v>
      </c>
      <c r="AK215">
        <v>63.958675745480164</v>
      </c>
      <c r="AL215">
        <v>26.523179671806108</v>
      </c>
      <c r="AN215">
        <v>25.546841981685841</v>
      </c>
      <c r="AP215">
        <v>76.566599999999994</v>
      </c>
      <c r="AQ215">
        <v>1.2550244770589092</v>
      </c>
      <c r="AS215">
        <v>71.900000000000006</v>
      </c>
      <c r="AV215">
        <v>-5006</v>
      </c>
      <c r="AW215">
        <v>24094293.6554306</v>
      </c>
      <c r="AX215">
        <v>310825494.48158097</v>
      </c>
      <c r="AY215">
        <v>443.79065267671854</v>
      </c>
      <c r="AZ215">
        <v>3799.9552701516295</v>
      </c>
      <c r="BA215">
        <v>-390225123.543679</v>
      </c>
      <c r="BB215">
        <v>3.7412239185207721</v>
      </c>
    </row>
    <row r="216" spans="1:54" x14ac:dyDescent="0.25">
      <c r="A216">
        <v>214</v>
      </c>
      <c r="B216">
        <v>2022</v>
      </c>
      <c r="C216" t="s">
        <v>54</v>
      </c>
      <c r="D216" t="s">
        <v>483</v>
      </c>
      <c r="E216" t="s">
        <v>484</v>
      </c>
      <c r="F216">
        <v>38222876</v>
      </c>
      <c r="G216">
        <v>2.8733435852613902</v>
      </c>
      <c r="H216">
        <v>527970</v>
      </c>
      <c r="O216">
        <v>67.951999999999998</v>
      </c>
      <c r="P216">
        <v>4.593</v>
      </c>
      <c r="Q216">
        <v>74.879000000000005</v>
      </c>
      <c r="T216">
        <v>40.799999999999997</v>
      </c>
      <c r="U216">
        <v>40.700000000000003</v>
      </c>
      <c r="V216">
        <v>53</v>
      </c>
      <c r="Z216">
        <v>0.1</v>
      </c>
      <c r="AA216">
        <v>5490</v>
      </c>
      <c r="AC216">
        <v>68.949534513768668</v>
      </c>
      <c r="AD216">
        <v>53.972914021435749</v>
      </c>
      <c r="AP216">
        <v>46.453400000000002</v>
      </c>
      <c r="AR216">
        <v>25.962790587289348</v>
      </c>
      <c r="AS216">
        <v>116.4</v>
      </c>
      <c r="AT216">
        <v>7351067998.1999998</v>
      </c>
      <c r="AV216">
        <v>-10448</v>
      </c>
      <c r="AX216">
        <v>0</v>
      </c>
      <c r="AY216">
        <v>95.225653345492631</v>
      </c>
    </row>
    <row r="217" spans="1:54" x14ac:dyDescent="0.25">
      <c r="A217">
        <v>215</v>
      </c>
      <c r="B217">
        <v>2022</v>
      </c>
      <c r="C217" t="s">
        <v>54</v>
      </c>
      <c r="D217" t="s">
        <v>485</v>
      </c>
      <c r="E217" t="s">
        <v>486</v>
      </c>
      <c r="F217">
        <v>20152938</v>
      </c>
      <c r="G217">
        <v>2.76365042984169</v>
      </c>
      <c r="H217">
        <v>752610</v>
      </c>
      <c r="I217">
        <v>60</v>
      </c>
      <c r="J217">
        <v>23514171028.851093</v>
      </c>
      <c r="K217">
        <v>1170</v>
      </c>
      <c r="L217">
        <v>73119231208.085693</v>
      </c>
      <c r="M217">
        <v>3630</v>
      </c>
      <c r="N217">
        <v>3.9</v>
      </c>
      <c r="O217">
        <v>65.278999999999996</v>
      </c>
      <c r="P217">
        <v>4.1749999999999998</v>
      </c>
      <c r="Q217">
        <v>117.398</v>
      </c>
      <c r="T217">
        <v>46.7</v>
      </c>
      <c r="V217">
        <v>88</v>
      </c>
      <c r="Z217">
        <v>10.3</v>
      </c>
      <c r="AA217">
        <v>444376.011</v>
      </c>
      <c r="AB217">
        <v>16.651147718950096</v>
      </c>
      <c r="AC217">
        <v>800.67487352765136</v>
      </c>
      <c r="AD217">
        <v>703.96683600177801</v>
      </c>
      <c r="AE217">
        <v>29163782140.485832</v>
      </c>
      <c r="AF217">
        <v>5.2112236035624733</v>
      </c>
      <c r="AG217">
        <v>6.1403183896508295</v>
      </c>
      <c r="AH217">
        <v>3.0940158340762234</v>
      </c>
      <c r="AI217">
        <v>35.283821018244943</v>
      </c>
      <c r="AJ217">
        <v>40.193997711430569</v>
      </c>
      <c r="AK217">
        <v>29.10331770788973</v>
      </c>
      <c r="AL217">
        <v>26.980508150543049</v>
      </c>
      <c r="AN217">
        <v>13.843300503865116</v>
      </c>
      <c r="AO217">
        <v>1.1165478995701998</v>
      </c>
      <c r="AP217">
        <v>98.437299999999993</v>
      </c>
      <c r="AQ217">
        <v>0.71671030184943196</v>
      </c>
      <c r="AR217">
        <v>70.796715942193799</v>
      </c>
      <c r="AS217">
        <v>116.9</v>
      </c>
      <c r="AT217">
        <v>28423406214.599998</v>
      </c>
      <c r="AU217">
        <v>5.3173064275649891</v>
      </c>
      <c r="AV217">
        <v>-8566</v>
      </c>
      <c r="AW217">
        <v>131254122.967163</v>
      </c>
      <c r="AX217">
        <v>-65118862.8223029</v>
      </c>
      <c r="AY217">
        <v>90.492812756228403</v>
      </c>
      <c r="AZ217">
        <v>1447.1231013803463</v>
      </c>
      <c r="BA217">
        <v>-187643340.86356398</v>
      </c>
      <c r="BB217">
        <v>10.99320392091359</v>
      </c>
    </row>
    <row r="218" spans="1:54" x14ac:dyDescent="0.25">
      <c r="A218">
        <v>216</v>
      </c>
      <c r="B218">
        <v>2022</v>
      </c>
      <c r="C218" t="s">
        <v>54</v>
      </c>
      <c r="D218" t="s">
        <v>487</v>
      </c>
      <c r="E218" t="s">
        <v>488</v>
      </c>
      <c r="F218">
        <v>16069056</v>
      </c>
      <c r="G218">
        <v>1.7062092862652001</v>
      </c>
      <c r="H218">
        <v>390760</v>
      </c>
      <c r="J218">
        <v>41478987602.915825</v>
      </c>
      <c r="K218">
        <v>2580</v>
      </c>
      <c r="L218">
        <v>85347893664.114792</v>
      </c>
      <c r="M218">
        <v>5310</v>
      </c>
      <c r="O218">
        <v>62.36</v>
      </c>
      <c r="P218">
        <v>3.7669999999999999</v>
      </c>
      <c r="Q218">
        <v>99.483999999999995</v>
      </c>
      <c r="T218">
        <v>46</v>
      </c>
      <c r="V218">
        <v>90</v>
      </c>
      <c r="W218">
        <v>83.198408583888295</v>
      </c>
      <c r="Z218">
        <v>10.9</v>
      </c>
      <c r="AA218">
        <v>173524.4</v>
      </c>
      <c r="AB218">
        <v>4.4812932535261227</v>
      </c>
      <c r="AC218">
        <v>416.58687538139202</v>
      </c>
      <c r="AD218">
        <v>538.79954118026592</v>
      </c>
      <c r="AE218">
        <v>40757561708.774139</v>
      </c>
      <c r="AF218">
        <v>6.1392632757021346</v>
      </c>
      <c r="AG218">
        <v>274.45809048439895</v>
      </c>
      <c r="AH218">
        <v>17.06123089314713</v>
      </c>
      <c r="AI218">
        <v>46.47236353928249</v>
      </c>
      <c r="AJ218">
        <v>23.699219626644698</v>
      </c>
      <c r="AK218">
        <v>31.368132620958928</v>
      </c>
      <c r="AL218">
        <v>12.418930420768666</v>
      </c>
      <c r="AO218">
        <v>0.99498810935145598</v>
      </c>
      <c r="AP218">
        <v>88.995800000000003</v>
      </c>
      <c r="AQ218">
        <v>1.4769311377601373</v>
      </c>
      <c r="AR218">
        <v>37.389380917552295</v>
      </c>
      <c r="AS218">
        <v>94</v>
      </c>
      <c r="AT218">
        <v>14120782697.4</v>
      </c>
      <c r="AU218">
        <v>1.131389752089901</v>
      </c>
      <c r="AV218">
        <v>-102828</v>
      </c>
      <c r="AW218">
        <v>8683242.4746400006</v>
      </c>
      <c r="AX218">
        <v>336761000</v>
      </c>
      <c r="AY218">
        <v>49.042862864229548</v>
      </c>
      <c r="AZ218">
        <v>2536.4005022307556</v>
      </c>
      <c r="BA218">
        <v>-336761000</v>
      </c>
      <c r="BB218">
        <v>104.7051706286672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A49B-3811-4030-884A-974ECF440DF3}">
  <dimension ref="A1:K250"/>
  <sheetViews>
    <sheetView topLeftCell="A153" workbookViewId="0"/>
  </sheetViews>
  <sheetFormatPr defaultRowHeight="15" x14ac:dyDescent="0.25"/>
  <cols>
    <col min="1" max="1" width="45.28515625" bestFit="1" customWidth="1"/>
    <col min="2" max="3" width="9.5703125" bestFit="1" customWidth="1"/>
    <col min="4" max="4" width="14.5703125" bestFit="1" customWidth="1"/>
    <col min="5" max="5" width="14" bestFit="1" customWidth="1"/>
    <col min="6" max="6" width="8.5703125" bestFit="1" customWidth="1"/>
    <col min="7" max="7" width="27.7109375" bestFit="1" customWidth="1"/>
    <col min="8" max="8" width="20.28515625" bestFit="1" customWidth="1"/>
    <col min="9" max="9" width="13.28515625" bestFit="1" customWidth="1"/>
    <col min="10" max="10" width="17.140625" bestFit="1" customWidth="1"/>
    <col min="11" max="11" width="25.140625" bestFit="1" customWidth="1"/>
  </cols>
  <sheetData>
    <row r="1" spans="1:11" x14ac:dyDescent="0.25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</row>
    <row r="2" spans="1:11" x14ac:dyDescent="0.25">
      <c r="A2" t="s">
        <v>55</v>
      </c>
      <c r="B2" t="s">
        <v>530</v>
      </c>
      <c r="C2" t="s">
        <v>56</v>
      </c>
      <c r="D2">
        <v>4</v>
      </c>
      <c r="E2" t="s">
        <v>531</v>
      </c>
      <c r="F2" t="s">
        <v>532</v>
      </c>
      <c r="G2" t="s">
        <v>533</v>
      </c>
      <c r="H2" t="s">
        <v>534</v>
      </c>
      <c r="I2">
        <v>142</v>
      </c>
      <c r="J2">
        <v>34</v>
      </c>
    </row>
    <row r="3" spans="1:11" x14ac:dyDescent="0.25">
      <c r="A3" t="s">
        <v>535</v>
      </c>
      <c r="B3" t="s">
        <v>536</v>
      </c>
      <c r="C3" t="s">
        <v>537</v>
      </c>
      <c r="D3">
        <v>248</v>
      </c>
      <c r="E3" t="s">
        <v>538</v>
      </c>
      <c r="F3" t="s">
        <v>539</v>
      </c>
      <c r="G3" t="s">
        <v>540</v>
      </c>
      <c r="H3" t="s">
        <v>534</v>
      </c>
      <c r="I3">
        <v>150</v>
      </c>
      <c r="J3">
        <v>154</v>
      </c>
    </row>
    <row r="4" spans="1:11" x14ac:dyDescent="0.25">
      <c r="A4" t="s">
        <v>57</v>
      </c>
      <c r="B4" t="s">
        <v>541</v>
      </c>
      <c r="C4" t="s">
        <v>58</v>
      </c>
      <c r="D4">
        <v>8</v>
      </c>
      <c r="E4" t="s">
        <v>542</v>
      </c>
      <c r="F4" t="s">
        <v>539</v>
      </c>
      <c r="G4" t="s">
        <v>543</v>
      </c>
      <c r="H4" t="s">
        <v>534</v>
      </c>
      <c r="I4">
        <v>150</v>
      </c>
      <c r="J4">
        <v>39</v>
      </c>
    </row>
    <row r="5" spans="1:11" x14ac:dyDescent="0.25">
      <c r="A5" t="s">
        <v>59</v>
      </c>
      <c r="B5" t="s">
        <v>544</v>
      </c>
      <c r="C5" t="s">
        <v>60</v>
      </c>
      <c r="D5">
        <v>12</v>
      </c>
      <c r="E5" t="s">
        <v>545</v>
      </c>
      <c r="F5" t="s">
        <v>546</v>
      </c>
      <c r="G5" t="s">
        <v>547</v>
      </c>
      <c r="H5" t="s">
        <v>534</v>
      </c>
      <c r="I5">
        <v>2</v>
      </c>
      <c r="J5">
        <v>15</v>
      </c>
    </row>
    <row r="6" spans="1:11" x14ac:dyDescent="0.25">
      <c r="A6" t="s">
        <v>61</v>
      </c>
      <c r="B6" t="s">
        <v>548</v>
      </c>
      <c r="C6" t="s">
        <v>62</v>
      </c>
      <c r="D6">
        <v>16</v>
      </c>
      <c r="E6" t="s">
        <v>549</v>
      </c>
      <c r="F6" t="s">
        <v>550</v>
      </c>
      <c r="G6" t="s">
        <v>551</v>
      </c>
      <c r="H6" t="s">
        <v>534</v>
      </c>
      <c r="I6">
        <v>9</v>
      </c>
      <c r="J6">
        <v>61</v>
      </c>
    </row>
    <row r="7" spans="1:11" x14ac:dyDescent="0.25">
      <c r="A7" t="s">
        <v>63</v>
      </c>
      <c r="B7" t="s">
        <v>552</v>
      </c>
      <c r="C7" t="s">
        <v>64</v>
      </c>
      <c r="D7">
        <v>20</v>
      </c>
      <c r="E7" t="s">
        <v>553</v>
      </c>
      <c r="F7" t="s">
        <v>539</v>
      </c>
      <c r="G7" t="s">
        <v>543</v>
      </c>
      <c r="H7" t="s">
        <v>534</v>
      </c>
      <c r="I7">
        <v>150</v>
      </c>
      <c r="J7">
        <v>39</v>
      </c>
    </row>
    <row r="8" spans="1:11" x14ac:dyDescent="0.25">
      <c r="A8" t="s">
        <v>65</v>
      </c>
      <c r="B8" t="s">
        <v>554</v>
      </c>
      <c r="C8" t="s">
        <v>66</v>
      </c>
      <c r="D8">
        <v>24</v>
      </c>
      <c r="E8" t="s">
        <v>555</v>
      </c>
      <c r="F8" t="s">
        <v>546</v>
      </c>
      <c r="G8" t="s">
        <v>556</v>
      </c>
      <c r="H8" t="s">
        <v>557</v>
      </c>
      <c r="I8">
        <v>2</v>
      </c>
      <c r="J8">
        <v>202</v>
      </c>
      <c r="K8">
        <v>17</v>
      </c>
    </row>
    <row r="9" spans="1:11" x14ac:dyDescent="0.25">
      <c r="A9" t="s">
        <v>558</v>
      </c>
      <c r="B9" t="s">
        <v>559</v>
      </c>
      <c r="C9" t="s">
        <v>560</v>
      </c>
      <c r="D9">
        <v>660</v>
      </c>
      <c r="E9" t="s">
        <v>561</v>
      </c>
      <c r="F9" t="s">
        <v>562</v>
      </c>
      <c r="G9" t="s">
        <v>563</v>
      </c>
      <c r="H9" t="s">
        <v>564</v>
      </c>
      <c r="I9">
        <v>19</v>
      </c>
      <c r="J9">
        <v>419</v>
      </c>
      <c r="K9">
        <v>29</v>
      </c>
    </row>
    <row r="10" spans="1:11" x14ac:dyDescent="0.25">
      <c r="A10" t="s">
        <v>565</v>
      </c>
      <c r="B10" t="s">
        <v>566</v>
      </c>
      <c r="C10" t="s">
        <v>567</v>
      </c>
      <c r="D10">
        <v>10</v>
      </c>
      <c r="E10" t="s">
        <v>568</v>
      </c>
      <c r="F10" t="s">
        <v>534</v>
      </c>
      <c r="G10" t="s">
        <v>534</v>
      </c>
      <c r="H10" t="s">
        <v>534</v>
      </c>
    </row>
    <row r="11" spans="1:11" x14ac:dyDescent="0.25">
      <c r="A11" t="s">
        <v>67</v>
      </c>
      <c r="B11" t="s">
        <v>569</v>
      </c>
      <c r="C11" t="s">
        <v>68</v>
      </c>
      <c r="D11">
        <v>28</v>
      </c>
      <c r="E11" t="s">
        <v>570</v>
      </c>
      <c r="F11" t="s">
        <v>562</v>
      </c>
      <c r="G11" t="s">
        <v>563</v>
      </c>
      <c r="H11" t="s">
        <v>564</v>
      </c>
      <c r="I11">
        <v>19</v>
      </c>
      <c r="J11">
        <v>419</v>
      </c>
      <c r="K11">
        <v>29</v>
      </c>
    </row>
    <row r="12" spans="1:11" x14ac:dyDescent="0.25">
      <c r="A12" t="s">
        <v>69</v>
      </c>
      <c r="B12" t="s">
        <v>571</v>
      </c>
      <c r="C12" t="s">
        <v>70</v>
      </c>
      <c r="D12">
        <v>32</v>
      </c>
      <c r="E12" t="s">
        <v>572</v>
      </c>
      <c r="F12" t="s">
        <v>562</v>
      </c>
      <c r="G12" t="s">
        <v>563</v>
      </c>
      <c r="H12" t="s">
        <v>573</v>
      </c>
      <c r="I12">
        <v>19</v>
      </c>
      <c r="J12">
        <v>419</v>
      </c>
      <c r="K12">
        <v>5</v>
      </c>
    </row>
    <row r="13" spans="1:11" x14ac:dyDescent="0.25">
      <c r="A13" t="s">
        <v>71</v>
      </c>
      <c r="B13" t="s">
        <v>574</v>
      </c>
      <c r="C13" t="s">
        <v>72</v>
      </c>
      <c r="D13">
        <v>51</v>
      </c>
      <c r="E13" t="s">
        <v>575</v>
      </c>
      <c r="F13" t="s">
        <v>532</v>
      </c>
      <c r="G13" t="s">
        <v>576</v>
      </c>
      <c r="H13" t="s">
        <v>534</v>
      </c>
      <c r="I13">
        <v>142</v>
      </c>
      <c r="J13">
        <v>145</v>
      </c>
    </row>
    <row r="14" spans="1:11" x14ac:dyDescent="0.25">
      <c r="A14" t="s">
        <v>73</v>
      </c>
      <c r="B14" t="s">
        <v>577</v>
      </c>
      <c r="C14" t="s">
        <v>74</v>
      </c>
      <c r="D14">
        <v>533</v>
      </c>
      <c r="E14" t="s">
        <v>578</v>
      </c>
      <c r="F14" t="s">
        <v>562</v>
      </c>
      <c r="G14" t="s">
        <v>563</v>
      </c>
      <c r="H14" t="s">
        <v>564</v>
      </c>
      <c r="I14">
        <v>19</v>
      </c>
      <c r="J14">
        <v>419</v>
      </c>
      <c r="K14">
        <v>29</v>
      </c>
    </row>
    <row r="15" spans="1:11" x14ac:dyDescent="0.25">
      <c r="A15" t="s">
        <v>75</v>
      </c>
      <c r="B15" t="s">
        <v>579</v>
      </c>
      <c r="C15" t="s">
        <v>76</v>
      </c>
      <c r="D15">
        <v>36</v>
      </c>
      <c r="E15" t="s">
        <v>580</v>
      </c>
      <c r="F15" t="s">
        <v>550</v>
      </c>
      <c r="G15" t="s">
        <v>581</v>
      </c>
      <c r="H15" t="s">
        <v>534</v>
      </c>
      <c r="I15">
        <v>9</v>
      </c>
      <c r="J15">
        <v>53</v>
      </c>
    </row>
    <row r="16" spans="1:11" x14ac:dyDescent="0.25">
      <c r="A16" t="s">
        <v>77</v>
      </c>
      <c r="B16" t="s">
        <v>582</v>
      </c>
      <c r="C16" t="s">
        <v>78</v>
      </c>
      <c r="D16">
        <v>40</v>
      </c>
      <c r="E16" t="s">
        <v>583</v>
      </c>
      <c r="F16" t="s">
        <v>539</v>
      </c>
      <c r="G16" t="s">
        <v>584</v>
      </c>
      <c r="H16" t="s">
        <v>534</v>
      </c>
      <c r="I16">
        <v>150</v>
      </c>
      <c r="J16">
        <v>155</v>
      </c>
    </row>
    <row r="17" spans="1:11" x14ac:dyDescent="0.25">
      <c r="A17" t="s">
        <v>79</v>
      </c>
      <c r="B17" t="s">
        <v>585</v>
      </c>
      <c r="C17" t="s">
        <v>80</v>
      </c>
      <c r="D17">
        <v>31</v>
      </c>
      <c r="E17" t="s">
        <v>586</v>
      </c>
      <c r="F17" t="s">
        <v>532</v>
      </c>
      <c r="G17" t="s">
        <v>576</v>
      </c>
      <c r="H17" t="s">
        <v>534</v>
      </c>
      <c r="I17">
        <v>142</v>
      </c>
      <c r="J17">
        <v>145</v>
      </c>
    </row>
    <row r="18" spans="1:11" x14ac:dyDescent="0.25">
      <c r="A18" t="s">
        <v>491</v>
      </c>
      <c r="B18" t="s">
        <v>587</v>
      </c>
      <c r="C18" t="s">
        <v>82</v>
      </c>
      <c r="D18">
        <v>44</v>
      </c>
      <c r="E18" t="s">
        <v>588</v>
      </c>
      <c r="F18" t="s">
        <v>562</v>
      </c>
      <c r="G18" t="s">
        <v>563</v>
      </c>
      <c r="H18" t="s">
        <v>564</v>
      </c>
      <c r="I18">
        <v>19</v>
      </c>
      <c r="J18">
        <v>419</v>
      </c>
      <c r="K18">
        <v>29</v>
      </c>
    </row>
    <row r="19" spans="1:11" x14ac:dyDescent="0.25">
      <c r="A19" t="s">
        <v>83</v>
      </c>
      <c r="B19" t="s">
        <v>589</v>
      </c>
      <c r="C19" t="s">
        <v>84</v>
      </c>
      <c r="D19">
        <v>48</v>
      </c>
      <c r="E19" t="s">
        <v>590</v>
      </c>
      <c r="F19" t="s">
        <v>532</v>
      </c>
      <c r="G19" t="s">
        <v>576</v>
      </c>
      <c r="H19" t="s">
        <v>534</v>
      </c>
      <c r="I19">
        <v>142</v>
      </c>
      <c r="J19">
        <v>145</v>
      </c>
    </row>
    <row r="20" spans="1:11" x14ac:dyDescent="0.25">
      <c r="A20" t="s">
        <v>85</v>
      </c>
      <c r="B20" t="s">
        <v>591</v>
      </c>
      <c r="C20" t="s">
        <v>86</v>
      </c>
      <c r="D20">
        <v>50</v>
      </c>
      <c r="E20" t="s">
        <v>592</v>
      </c>
      <c r="F20" t="s">
        <v>532</v>
      </c>
      <c r="G20" t="s">
        <v>533</v>
      </c>
      <c r="H20" t="s">
        <v>534</v>
      </c>
      <c r="I20">
        <v>142</v>
      </c>
      <c r="J20">
        <v>34</v>
      </c>
    </row>
    <row r="21" spans="1:11" x14ac:dyDescent="0.25">
      <c r="A21" t="s">
        <v>87</v>
      </c>
      <c r="B21" t="s">
        <v>593</v>
      </c>
      <c r="C21" t="s">
        <v>88</v>
      </c>
      <c r="D21">
        <v>52</v>
      </c>
      <c r="E21" t="s">
        <v>594</v>
      </c>
      <c r="F21" t="s">
        <v>562</v>
      </c>
      <c r="G21" t="s">
        <v>563</v>
      </c>
      <c r="H21" t="s">
        <v>564</v>
      </c>
      <c r="I21">
        <v>19</v>
      </c>
      <c r="J21">
        <v>419</v>
      </c>
      <c r="K21">
        <v>29</v>
      </c>
    </row>
    <row r="22" spans="1:11" x14ac:dyDescent="0.25">
      <c r="A22" t="s">
        <v>89</v>
      </c>
      <c r="B22" t="s">
        <v>595</v>
      </c>
      <c r="C22" t="s">
        <v>90</v>
      </c>
      <c r="D22">
        <v>112</v>
      </c>
      <c r="E22" t="s">
        <v>596</v>
      </c>
      <c r="F22" t="s">
        <v>539</v>
      </c>
      <c r="G22" t="s">
        <v>597</v>
      </c>
      <c r="H22" t="s">
        <v>534</v>
      </c>
      <c r="I22">
        <v>150</v>
      </c>
      <c r="J22">
        <v>151</v>
      </c>
    </row>
    <row r="23" spans="1:11" x14ac:dyDescent="0.25">
      <c r="A23" t="s">
        <v>91</v>
      </c>
      <c r="B23" t="s">
        <v>598</v>
      </c>
      <c r="C23" t="s">
        <v>92</v>
      </c>
      <c r="D23">
        <v>56</v>
      </c>
      <c r="E23" t="s">
        <v>599</v>
      </c>
      <c r="F23" t="s">
        <v>539</v>
      </c>
      <c r="G23" t="s">
        <v>584</v>
      </c>
      <c r="H23" t="s">
        <v>534</v>
      </c>
      <c r="I23">
        <v>150</v>
      </c>
      <c r="J23">
        <v>155</v>
      </c>
    </row>
    <row r="24" spans="1:11" x14ac:dyDescent="0.25">
      <c r="A24" t="s">
        <v>93</v>
      </c>
      <c r="B24" t="s">
        <v>600</v>
      </c>
      <c r="C24" t="s">
        <v>94</v>
      </c>
      <c r="D24">
        <v>84</v>
      </c>
      <c r="E24" t="s">
        <v>601</v>
      </c>
      <c r="F24" t="s">
        <v>562</v>
      </c>
      <c r="G24" t="s">
        <v>563</v>
      </c>
      <c r="H24" t="s">
        <v>602</v>
      </c>
      <c r="I24">
        <v>19</v>
      </c>
      <c r="J24">
        <v>419</v>
      </c>
      <c r="K24">
        <v>13</v>
      </c>
    </row>
    <row r="25" spans="1:11" x14ac:dyDescent="0.25">
      <c r="A25" t="s">
        <v>95</v>
      </c>
      <c r="B25" t="s">
        <v>603</v>
      </c>
      <c r="C25" t="s">
        <v>96</v>
      </c>
      <c r="D25">
        <v>204</v>
      </c>
      <c r="E25" t="s">
        <v>604</v>
      </c>
      <c r="F25" t="s">
        <v>546</v>
      </c>
      <c r="G25" t="s">
        <v>556</v>
      </c>
      <c r="H25" t="s">
        <v>605</v>
      </c>
      <c r="I25">
        <v>2</v>
      </c>
      <c r="J25">
        <v>202</v>
      </c>
      <c r="K25">
        <v>11</v>
      </c>
    </row>
    <row r="26" spans="1:11" x14ac:dyDescent="0.25">
      <c r="A26" t="s">
        <v>97</v>
      </c>
      <c r="B26" t="s">
        <v>606</v>
      </c>
      <c r="C26" t="s">
        <v>98</v>
      </c>
      <c r="D26">
        <v>60</v>
      </c>
      <c r="E26" t="s">
        <v>607</v>
      </c>
      <c r="F26" t="s">
        <v>562</v>
      </c>
      <c r="G26" t="s">
        <v>608</v>
      </c>
      <c r="H26" t="s">
        <v>534</v>
      </c>
      <c r="I26">
        <v>19</v>
      </c>
      <c r="J26">
        <v>21</v>
      </c>
    </row>
    <row r="27" spans="1:11" x14ac:dyDescent="0.25">
      <c r="A27" t="s">
        <v>99</v>
      </c>
      <c r="B27" t="s">
        <v>609</v>
      </c>
      <c r="C27" t="s">
        <v>100</v>
      </c>
      <c r="D27">
        <v>64</v>
      </c>
      <c r="E27" t="s">
        <v>610</v>
      </c>
      <c r="F27" t="s">
        <v>532</v>
      </c>
      <c r="G27" t="s">
        <v>533</v>
      </c>
      <c r="H27" t="s">
        <v>534</v>
      </c>
      <c r="I27">
        <v>142</v>
      </c>
      <c r="J27">
        <v>34</v>
      </c>
    </row>
    <row r="28" spans="1:11" x14ac:dyDescent="0.25">
      <c r="A28" t="s">
        <v>492</v>
      </c>
      <c r="B28" t="s">
        <v>611</v>
      </c>
      <c r="C28" t="s">
        <v>102</v>
      </c>
      <c r="D28">
        <v>68</v>
      </c>
      <c r="E28" t="s">
        <v>612</v>
      </c>
      <c r="F28" t="s">
        <v>562</v>
      </c>
      <c r="G28" t="s">
        <v>563</v>
      </c>
      <c r="H28" t="s">
        <v>573</v>
      </c>
      <c r="I28">
        <v>19</v>
      </c>
      <c r="J28">
        <v>419</v>
      </c>
      <c r="K28">
        <v>5</v>
      </c>
    </row>
    <row r="29" spans="1:11" x14ac:dyDescent="0.25">
      <c r="A29" t="s">
        <v>517</v>
      </c>
      <c r="B29" t="s">
        <v>613</v>
      </c>
      <c r="C29" t="s">
        <v>614</v>
      </c>
      <c r="D29">
        <v>535</v>
      </c>
      <c r="E29" t="s">
        <v>615</v>
      </c>
      <c r="F29" t="s">
        <v>562</v>
      </c>
      <c r="G29" t="s">
        <v>563</v>
      </c>
      <c r="H29" t="s">
        <v>564</v>
      </c>
      <c r="I29">
        <v>19</v>
      </c>
      <c r="J29">
        <v>419</v>
      </c>
      <c r="K29">
        <v>29</v>
      </c>
    </row>
    <row r="30" spans="1:11" x14ac:dyDescent="0.25">
      <c r="A30" t="s">
        <v>103</v>
      </c>
      <c r="B30" t="s">
        <v>616</v>
      </c>
      <c r="C30" t="s">
        <v>104</v>
      </c>
      <c r="D30">
        <v>70</v>
      </c>
      <c r="E30" t="s">
        <v>617</v>
      </c>
      <c r="F30" t="s">
        <v>539</v>
      </c>
      <c r="G30" t="s">
        <v>543</v>
      </c>
      <c r="H30" t="s">
        <v>534</v>
      </c>
      <c r="I30">
        <v>150</v>
      </c>
      <c r="J30">
        <v>39</v>
      </c>
    </row>
    <row r="31" spans="1:11" x14ac:dyDescent="0.25">
      <c r="A31" t="s">
        <v>105</v>
      </c>
      <c r="B31" t="s">
        <v>618</v>
      </c>
      <c r="C31" t="s">
        <v>106</v>
      </c>
      <c r="D31">
        <v>72</v>
      </c>
      <c r="E31" t="s">
        <v>619</v>
      </c>
      <c r="F31" t="s">
        <v>546</v>
      </c>
      <c r="G31" t="s">
        <v>556</v>
      </c>
      <c r="H31" t="s">
        <v>620</v>
      </c>
      <c r="I31">
        <v>2</v>
      </c>
      <c r="J31">
        <v>202</v>
      </c>
      <c r="K31">
        <v>18</v>
      </c>
    </row>
    <row r="32" spans="1:11" x14ac:dyDescent="0.25">
      <c r="A32" t="s">
        <v>621</v>
      </c>
      <c r="B32" t="s">
        <v>622</v>
      </c>
      <c r="C32" t="s">
        <v>623</v>
      </c>
      <c r="D32">
        <v>74</v>
      </c>
      <c r="E32" t="s">
        <v>624</v>
      </c>
      <c r="F32" t="s">
        <v>562</v>
      </c>
      <c r="G32" t="s">
        <v>563</v>
      </c>
      <c r="H32" t="s">
        <v>573</v>
      </c>
      <c r="I32">
        <v>19</v>
      </c>
      <c r="J32">
        <v>419</v>
      </c>
      <c r="K32">
        <v>5</v>
      </c>
    </row>
    <row r="33" spans="1:11" x14ac:dyDescent="0.25">
      <c r="A33" t="s">
        <v>107</v>
      </c>
      <c r="B33" t="s">
        <v>625</v>
      </c>
      <c r="C33" t="s">
        <v>108</v>
      </c>
      <c r="D33">
        <v>76</v>
      </c>
      <c r="E33" t="s">
        <v>626</v>
      </c>
      <c r="F33" t="s">
        <v>562</v>
      </c>
      <c r="G33" t="s">
        <v>563</v>
      </c>
      <c r="H33" t="s">
        <v>573</v>
      </c>
      <c r="I33">
        <v>19</v>
      </c>
      <c r="J33">
        <v>419</v>
      </c>
      <c r="K33">
        <v>5</v>
      </c>
    </row>
    <row r="34" spans="1:11" x14ac:dyDescent="0.25">
      <c r="A34" t="s">
        <v>627</v>
      </c>
      <c r="B34" t="s">
        <v>628</v>
      </c>
      <c r="C34" t="s">
        <v>629</v>
      </c>
      <c r="D34">
        <v>86</v>
      </c>
      <c r="E34" t="s">
        <v>630</v>
      </c>
      <c r="F34" t="s">
        <v>546</v>
      </c>
      <c r="G34" t="s">
        <v>556</v>
      </c>
      <c r="H34" t="s">
        <v>631</v>
      </c>
      <c r="I34">
        <v>2</v>
      </c>
      <c r="J34">
        <v>202</v>
      </c>
      <c r="K34">
        <v>14</v>
      </c>
    </row>
    <row r="35" spans="1:11" x14ac:dyDescent="0.25">
      <c r="A35" t="s">
        <v>111</v>
      </c>
      <c r="B35" t="s">
        <v>632</v>
      </c>
      <c r="C35" t="s">
        <v>112</v>
      </c>
      <c r="D35">
        <v>96</v>
      </c>
      <c r="E35" t="s">
        <v>633</v>
      </c>
      <c r="F35" t="s">
        <v>532</v>
      </c>
      <c r="G35" t="s">
        <v>634</v>
      </c>
      <c r="H35" t="s">
        <v>534</v>
      </c>
      <c r="I35">
        <v>142</v>
      </c>
      <c r="J35">
        <v>35</v>
      </c>
    </row>
    <row r="36" spans="1:11" x14ac:dyDescent="0.25">
      <c r="A36" t="s">
        <v>113</v>
      </c>
      <c r="B36" t="s">
        <v>635</v>
      </c>
      <c r="C36" t="s">
        <v>114</v>
      </c>
      <c r="D36">
        <v>100</v>
      </c>
      <c r="E36" t="s">
        <v>636</v>
      </c>
      <c r="F36" t="s">
        <v>539</v>
      </c>
      <c r="G36" t="s">
        <v>597</v>
      </c>
      <c r="H36" t="s">
        <v>534</v>
      </c>
      <c r="I36">
        <v>150</v>
      </c>
      <c r="J36">
        <v>151</v>
      </c>
    </row>
    <row r="37" spans="1:11" x14ac:dyDescent="0.25">
      <c r="A37" t="s">
        <v>115</v>
      </c>
      <c r="B37" t="s">
        <v>637</v>
      </c>
      <c r="C37" t="s">
        <v>116</v>
      </c>
      <c r="D37">
        <v>854</v>
      </c>
      <c r="E37" t="s">
        <v>638</v>
      </c>
      <c r="F37" t="s">
        <v>546</v>
      </c>
      <c r="G37" t="s">
        <v>556</v>
      </c>
      <c r="H37" t="s">
        <v>605</v>
      </c>
      <c r="I37">
        <v>2</v>
      </c>
      <c r="J37">
        <v>202</v>
      </c>
      <c r="K37">
        <v>11</v>
      </c>
    </row>
    <row r="38" spans="1:11" x14ac:dyDescent="0.25">
      <c r="A38" t="s">
        <v>117</v>
      </c>
      <c r="B38" t="s">
        <v>639</v>
      </c>
      <c r="C38" t="s">
        <v>118</v>
      </c>
      <c r="D38">
        <v>108</v>
      </c>
      <c r="E38" t="s">
        <v>640</v>
      </c>
      <c r="F38" t="s">
        <v>546</v>
      </c>
      <c r="G38" t="s">
        <v>556</v>
      </c>
      <c r="H38" t="s">
        <v>631</v>
      </c>
      <c r="I38">
        <v>2</v>
      </c>
      <c r="J38">
        <v>202</v>
      </c>
      <c r="K38">
        <v>14</v>
      </c>
    </row>
    <row r="39" spans="1:11" x14ac:dyDescent="0.25">
      <c r="A39" t="s">
        <v>119</v>
      </c>
      <c r="B39" t="s">
        <v>641</v>
      </c>
      <c r="C39" t="s">
        <v>120</v>
      </c>
      <c r="D39">
        <v>132</v>
      </c>
      <c r="E39" t="s">
        <v>642</v>
      </c>
      <c r="F39" t="s">
        <v>546</v>
      </c>
      <c r="G39" t="s">
        <v>556</v>
      </c>
      <c r="H39" t="s">
        <v>605</v>
      </c>
      <c r="I39">
        <v>2</v>
      </c>
      <c r="J39">
        <v>202</v>
      </c>
      <c r="K39">
        <v>11</v>
      </c>
    </row>
    <row r="40" spans="1:11" x14ac:dyDescent="0.25">
      <c r="A40" t="s">
        <v>121</v>
      </c>
      <c r="B40" t="s">
        <v>643</v>
      </c>
      <c r="C40" t="s">
        <v>122</v>
      </c>
      <c r="D40">
        <v>116</v>
      </c>
      <c r="E40" t="s">
        <v>644</v>
      </c>
      <c r="F40" t="s">
        <v>532</v>
      </c>
      <c r="G40" t="s">
        <v>634</v>
      </c>
      <c r="H40" t="s">
        <v>534</v>
      </c>
      <c r="I40">
        <v>142</v>
      </c>
      <c r="J40">
        <v>35</v>
      </c>
    </row>
    <row r="41" spans="1:11" x14ac:dyDescent="0.25">
      <c r="A41" t="s">
        <v>123</v>
      </c>
      <c r="B41" t="s">
        <v>645</v>
      </c>
      <c r="C41" t="s">
        <v>124</v>
      </c>
      <c r="D41">
        <v>120</v>
      </c>
      <c r="E41" t="s">
        <v>646</v>
      </c>
      <c r="F41" t="s">
        <v>546</v>
      </c>
      <c r="G41" t="s">
        <v>556</v>
      </c>
      <c r="H41" t="s">
        <v>557</v>
      </c>
      <c r="I41">
        <v>2</v>
      </c>
      <c r="J41">
        <v>202</v>
      </c>
      <c r="K41">
        <v>17</v>
      </c>
    </row>
    <row r="42" spans="1:11" x14ac:dyDescent="0.25">
      <c r="A42" t="s">
        <v>125</v>
      </c>
      <c r="B42" t="s">
        <v>647</v>
      </c>
      <c r="C42" t="s">
        <v>126</v>
      </c>
      <c r="D42">
        <v>124</v>
      </c>
      <c r="E42" t="s">
        <v>648</v>
      </c>
      <c r="F42" t="s">
        <v>562</v>
      </c>
      <c r="G42" t="s">
        <v>608</v>
      </c>
      <c r="H42" t="s">
        <v>534</v>
      </c>
      <c r="I42">
        <v>19</v>
      </c>
      <c r="J42">
        <v>21</v>
      </c>
    </row>
    <row r="43" spans="1:11" x14ac:dyDescent="0.25">
      <c r="A43" t="s">
        <v>127</v>
      </c>
      <c r="B43" t="s">
        <v>649</v>
      </c>
      <c r="C43" t="s">
        <v>128</v>
      </c>
      <c r="D43">
        <v>136</v>
      </c>
      <c r="E43" t="s">
        <v>650</v>
      </c>
      <c r="F43" t="s">
        <v>562</v>
      </c>
      <c r="G43" t="s">
        <v>563</v>
      </c>
      <c r="H43" t="s">
        <v>564</v>
      </c>
      <c r="I43">
        <v>19</v>
      </c>
      <c r="J43">
        <v>419</v>
      </c>
      <c r="K43">
        <v>29</v>
      </c>
    </row>
    <row r="44" spans="1:11" x14ac:dyDescent="0.25">
      <c r="A44" t="s">
        <v>129</v>
      </c>
      <c r="B44" t="s">
        <v>651</v>
      </c>
      <c r="C44" t="s">
        <v>130</v>
      </c>
      <c r="D44">
        <v>140</v>
      </c>
      <c r="E44" t="s">
        <v>652</v>
      </c>
      <c r="F44" t="s">
        <v>546</v>
      </c>
      <c r="G44" t="s">
        <v>556</v>
      </c>
      <c r="H44" t="s">
        <v>557</v>
      </c>
      <c r="I44">
        <v>2</v>
      </c>
      <c r="J44">
        <v>202</v>
      </c>
      <c r="K44">
        <v>17</v>
      </c>
    </row>
    <row r="45" spans="1:11" x14ac:dyDescent="0.25">
      <c r="A45" t="s">
        <v>131</v>
      </c>
      <c r="B45" t="s">
        <v>653</v>
      </c>
      <c r="C45" t="s">
        <v>132</v>
      </c>
      <c r="D45">
        <v>148</v>
      </c>
      <c r="E45" t="s">
        <v>654</v>
      </c>
      <c r="F45" t="s">
        <v>546</v>
      </c>
      <c r="G45" t="s">
        <v>556</v>
      </c>
      <c r="H45" t="s">
        <v>557</v>
      </c>
      <c r="I45">
        <v>2</v>
      </c>
      <c r="J45">
        <v>202</v>
      </c>
      <c r="K45">
        <v>17</v>
      </c>
    </row>
    <row r="46" spans="1:11" x14ac:dyDescent="0.25">
      <c r="A46" t="s">
        <v>135</v>
      </c>
      <c r="B46" t="s">
        <v>655</v>
      </c>
      <c r="C46" t="s">
        <v>136</v>
      </c>
      <c r="D46">
        <v>152</v>
      </c>
      <c r="E46" t="s">
        <v>656</v>
      </c>
      <c r="F46" t="s">
        <v>562</v>
      </c>
      <c r="G46" t="s">
        <v>563</v>
      </c>
      <c r="H46" t="s">
        <v>573</v>
      </c>
      <c r="I46">
        <v>19</v>
      </c>
      <c r="J46">
        <v>419</v>
      </c>
      <c r="K46">
        <v>5</v>
      </c>
    </row>
    <row r="47" spans="1:11" x14ac:dyDescent="0.25">
      <c r="A47" t="s">
        <v>137</v>
      </c>
      <c r="B47" t="s">
        <v>657</v>
      </c>
      <c r="C47" t="s">
        <v>138</v>
      </c>
      <c r="D47">
        <v>156</v>
      </c>
      <c r="E47" t="s">
        <v>658</v>
      </c>
      <c r="F47" t="s">
        <v>532</v>
      </c>
      <c r="G47" t="s">
        <v>659</v>
      </c>
      <c r="H47" t="s">
        <v>534</v>
      </c>
      <c r="I47">
        <v>142</v>
      </c>
      <c r="J47">
        <v>30</v>
      </c>
    </row>
    <row r="48" spans="1:11" x14ac:dyDescent="0.25">
      <c r="A48" t="s">
        <v>660</v>
      </c>
      <c r="B48" t="s">
        <v>661</v>
      </c>
      <c r="C48" t="s">
        <v>662</v>
      </c>
      <c r="D48">
        <v>162</v>
      </c>
      <c r="E48" t="s">
        <v>663</v>
      </c>
      <c r="F48" t="s">
        <v>550</v>
      </c>
      <c r="G48" t="s">
        <v>581</v>
      </c>
      <c r="H48" t="s">
        <v>534</v>
      </c>
      <c r="I48">
        <v>9</v>
      </c>
      <c r="J48">
        <v>53</v>
      </c>
    </row>
    <row r="49" spans="1:11" x14ac:dyDescent="0.25">
      <c r="A49" t="s">
        <v>494</v>
      </c>
      <c r="B49" t="s">
        <v>664</v>
      </c>
      <c r="C49" t="s">
        <v>665</v>
      </c>
      <c r="D49">
        <v>166</v>
      </c>
      <c r="E49" t="s">
        <v>666</v>
      </c>
      <c r="F49" t="s">
        <v>550</v>
      </c>
      <c r="G49" t="s">
        <v>581</v>
      </c>
      <c r="H49" t="s">
        <v>534</v>
      </c>
      <c r="I49">
        <v>9</v>
      </c>
      <c r="J49">
        <v>53</v>
      </c>
    </row>
    <row r="50" spans="1:11" x14ac:dyDescent="0.25">
      <c r="A50" t="s">
        <v>139</v>
      </c>
      <c r="B50" t="s">
        <v>667</v>
      </c>
      <c r="C50" t="s">
        <v>140</v>
      </c>
      <c r="D50">
        <v>170</v>
      </c>
      <c r="E50" t="s">
        <v>668</v>
      </c>
      <c r="F50" t="s">
        <v>562</v>
      </c>
      <c r="G50" t="s">
        <v>563</v>
      </c>
      <c r="H50" t="s">
        <v>573</v>
      </c>
      <c r="I50">
        <v>19</v>
      </c>
      <c r="J50">
        <v>419</v>
      </c>
      <c r="K50">
        <v>5</v>
      </c>
    </row>
    <row r="51" spans="1:11" x14ac:dyDescent="0.25">
      <c r="A51" t="s">
        <v>141</v>
      </c>
      <c r="B51" t="s">
        <v>669</v>
      </c>
      <c r="C51" t="s">
        <v>142</v>
      </c>
      <c r="D51">
        <v>174</v>
      </c>
      <c r="E51" t="s">
        <v>670</v>
      </c>
      <c r="F51" t="s">
        <v>546</v>
      </c>
      <c r="G51" t="s">
        <v>556</v>
      </c>
      <c r="H51" t="s">
        <v>631</v>
      </c>
      <c r="I51">
        <v>2</v>
      </c>
      <c r="J51">
        <v>202</v>
      </c>
      <c r="K51">
        <v>14</v>
      </c>
    </row>
    <row r="52" spans="1:11" x14ac:dyDescent="0.25">
      <c r="A52" t="s">
        <v>495</v>
      </c>
      <c r="B52" t="s">
        <v>671</v>
      </c>
      <c r="C52" t="s">
        <v>146</v>
      </c>
      <c r="D52">
        <v>178</v>
      </c>
      <c r="E52" t="s">
        <v>672</v>
      </c>
      <c r="F52" t="s">
        <v>546</v>
      </c>
      <c r="G52" t="s">
        <v>556</v>
      </c>
      <c r="H52" t="s">
        <v>557</v>
      </c>
      <c r="I52">
        <v>2</v>
      </c>
      <c r="J52">
        <v>202</v>
      </c>
      <c r="K52">
        <v>17</v>
      </c>
    </row>
    <row r="53" spans="1:11" x14ac:dyDescent="0.25">
      <c r="A53" t="s">
        <v>673</v>
      </c>
      <c r="B53" t="s">
        <v>674</v>
      </c>
      <c r="C53" t="s">
        <v>144</v>
      </c>
      <c r="D53">
        <v>180</v>
      </c>
      <c r="E53" t="s">
        <v>675</v>
      </c>
      <c r="F53" t="s">
        <v>546</v>
      </c>
      <c r="G53" t="s">
        <v>556</v>
      </c>
      <c r="H53" t="s">
        <v>557</v>
      </c>
      <c r="I53">
        <v>2</v>
      </c>
      <c r="J53">
        <v>202</v>
      </c>
      <c r="K53">
        <v>17</v>
      </c>
    </row>
    <row r="54" spans="1:11" x14ac:dyDescent="0.25">
      <c r="A54" t="s">
        <v>676</v>
      </c>
      <c r="B54" t="s">
        <v>677</v>
      </c>
      <c r="C54" t="s">
        <v>678</v>
      </c>
      <c r="D54">
        <v>184</v>
      </c>
      <c r="E54" t="s">
        <v>679</v>
      </c>
      <c r="F54" t="s">
        <v>550</v>
      </c>
      <c r="G54" t="s">
        <v>551</v>
      </c>
      <c r="H54" t="s">
        <v>534</v>
      </c>
      <c r="I54">
        <v>9</v>
      </c>
      <c r="J54">
        <v>61</v>
      </c>
    </row>
    <row r="55" spans="1:11" x14ac:dyDescent="0.25">
      <c r="A55" t="s">
        <v>147</v>
      </c>
      <c r="B55" t="s">
        <v>680</v>
      </c>
      <c r="C55" t="s">
        <v>148</v>
      </c>
      <c r="D55">
        <v>188</v>
      </c>
      <c r="E55" t="s">
        <v>681</v>
      </c>
      <c r="F55" t="s">
        <v>562</v>
      </c>
      <c r="G55" t="s">
        <v>563</v>
      </c>
      <c r="H55" t="s">
        <v>602</v>
      </c>
      <c r="I55">
        <v>19</v>
      </c>
      <c r="J55">
        <v>419</v>
      </c>
      <c r="K55">
        <v>13</v>
      </c>
    </row>
    <row r="56" spans="1:11" x14ac:dyDescent="0.25">
      <c r="A56" t="s">
        <v>496</v>
      </c>
      <c r="B56" t="s">
        <v>682</v>
      </c>
      <c r="C56" t="s">
        <v>150</v>
      </c>
      <c r="D56">
        <v>384</v>
      </c>
      <c r="E56" t="s">
        <v>683</v>
      </c>
      <c r="F56" t="s">
        <v>546</v>
      </c>
      <c r="G56" t="s">
        <v>556</v>
      </c>
      <c r="H56" t="s">
        <v>605</v>
      </c>
      <c r="I56">
        <v>2</v>
      </c>
      <c r="J56">
        <v>202</v>
      </c>
      <c r="K56">
        <v>11</v>
      </c>
    </row>
    <row r="57" spans="1:11" x14ac:dyDescent="0.25">
      <c r="A57" t="s">
        <v>151</v>
      </c>
      <c r="B57" t="s">
        <v>684</v>
      </c>
      <c r="C57" t="s">
        <v>152</v>
      </c>
      <c r="D57">
        <v>191</v>
      </c>
      <c r="E57" t="s">
        <v>685</v>
      </c>
      <c r="F57" t="s">
        <v>539</v>
      </c>
      <c r="G57" t="s">
        <v>543</v>
      </c>
      <c r="H57" t="s">
        <v>534</v>
      </c>
      <c r="I57">
        <v>150</v>
      </c>
      <c r="J57">
        <v>39</v>
      </c>
    </row>
    <row r="58" spans="1:11" x14ac:dyDescent="0.25">
      <c r="A58" t="s">
        <v>153</v>
      </c>
      <c r="B58" t="s">
        <v>686</v>
      </c>
      <c r="C58" t="s">
        <v>154</v>
      </c>
      <c r="D58">
        <v>192</v>
      </c>
      <c r="E58" t="s">
        <v>687</v>
      </c>
      <c r="F58" t="s">
        <v>562</v>
      </c>
      <c r="G58" t="s">
        <v>563</v>
      </c>
      <c r="H58" t="s">
        <v>564</v>
      </c>
      <c r="I58">
        <v>19</v>
      </c>
      <c r="J58">
        <v>419</v>
      </c>
      <c r="K58">
        <v>29</v>
      </c>
    </row>
    <row r="59" spans="1:11" x14ac:dyDescent="0.25">
      <c r="A59" t="s">
        <v>497</v>
      </c>
      <c r="B59" t="s">
        <v>688</v>
      </c>
      <c r="C59" t="s">
        <v>156</v>
      </c>
      <c r="D59">
        <v>531</v>
      </c>
      <c r="E59" t="s">
        <v>689</v>
      </c>
      <c r="F59" t="s">
        <v>562</v>
      </c>
      <c r="G59" t="s">
        <v>563</v>
      </c>
      <c r="H59" t="s">
        <v>564</v>
      </c>
      <c r="I59">
        <v>19</v>
      </c>
      <c r="J59">
        <v>419</v>
      </c>
      <c r="K59">
        <v>29</v>
      </c>
    </row>
    <row r="60" spans="1:11" x14ac:dyDescent="0.25">
      <c r="A60" t="s">
        <v>157</v>
      </c>
      <c r="B60" t="s">
        <v>690</v>
      </c>
      <c r="C60" t="s">
        <v>158</v>
      </c>
      <c r="D60">
        <v>196</v>
      </c>
      <c r="E60" t="s">
        <v>691</v>
      </c>
      <c r="F60" t="s">
        <v>532</v>
      </c>
      <c r="G60" t="s">
        <v>576</v>
      </c>
      <c r="H60" t="s">
        <v>534</v>
      </c>
      <c r="I60">
        <v>142</v>
      </c>
      <c r="J60">
        <v>145</v>
      </c>
    </row>
    <row r="61" spans="1:11" x14ac:dyDescent="0.25">
      <c r="A61" t="s">
        <v>159</v>
      </c>
      <c r="B61" t="s">
        <v>692</v>
      </c>
      <c r="C61" t="s">
        <v>160</v>
      </c>
      <c r="D61">
        <v>203</v>
      </c>
      <c r="E61" t="s">
        <v>693</v>
      </c>
      <c r="F61" t="s">
        <v>539</v>
      </c>
      <c r="G61" t="s">
        <v>597</v>
      </c>
      <c r="H61" t="s">
        <v>534</v>
      </c>
      <c r="I61">
        <v>150</v>
      </c>
      <c r="J61">
        <v>151</v>
      </c>
    </row>
    <row r="62" spans="1:11" x14ac:dyDescent="0.25">
      <c r="A62" t="s">
        <v>161</v>
      </c>
      <c r="B62" t="s">
        <v>694</v>
      </c>
      <c r="C62" t="s">
        <v>162</v>
      </c>
      <c r="D62">
        <v>208</v>
      </c>
      <c r="E62" t="s">
        <v>695</v>
      </c>
      <c r="F62" t="s">
        <v>539</v>
      </c>
      <c r="G62" t="s">
        <v>540</v>
      </c>
      <c r="H62" t="s">
        <v>534</v>
      </c>
      <c r="I62">
        <v>150</v>
      </c>
      <c r="J62">
        <v>154</v>
      </c>
    </row>
    <row r="63" spans="1:11" x14ac:dyDescent="0.25">
      <c r="A63" t="s">
        <v>163</v>
      </c>
      <c r="B63" t="s">
        <v>696</v>
      </c>
      <c r="C63" t="s">
        <v>164</v>
      </c>
      <c r="D63">
        <v>262</v>
      </c>
      <c r="E63" t="s">
        <v>697</v>
      </c>
      <c r="F63" t="s">
        <v>546</v>
      </c>
      <c r="G63" t="s">
        <v>556</v>
      </c>
      <c r="H63" t="s">
        <v>631</v>
      </c>
      <c r="I63">
        <v>2</v>
      </c>
      <c r="J63">
        <v>202</v>
      </c>
      <c r="K63">
        <v>14</v>
      </c>
    </row>
    <row r="64" spans="1:11" x14ac:dyDescent="0.25">
      <c r="A64" t="s">
        <v>165</v>
      </c>
      <c r="B64" t="s">
        <v>698</v>
      </c>
      <c r="C64" t="s">
        <v>166</v>
      </c>
      <c r="D64">
        <v>212</v>
      </c>
      <c r="E64" t="s">
        <v>699</v>
      </c>
      <c r="F64" t="s">
        <v>562</v>
      </c>
      <c r="G64" t="s">
        <v>563</v>
      </c>
      <c r="H64" t="s">
        <v>564</v>
      </c>
      <c r="I64">
        <v>19</v>
      </c>
      <c r="J64">
        <v>419</v>
      </c>
      <c r="K64">
        <v>29</v>
      </c>
    </row>
    <row r="65" spans="1:11" x14ac:dyDescent="0.25">
      <c r="A65" t="s">
        <v>167</v>
      </c>
      <c r="B65" t="s">
        <v>700</v>
      </c>
      <c r="C65" t="s">
        <v>168</v>
      </c>
      <c r="D65">
        <v>214</v>
      </c>
      <c r="E65" t="s">
        <v>701</v>
      </c>
      <c r="F65" t="s">
        <v>562</v>
      </c>
      <c r="G65" t="s">
        <v>563</v>
      </c>
      <c r="H65" t="s">
        <v>564</v>
      </c>
      <c r="I65">
        <v>19</v>
      </c>
      <c r="J65">
        <v>419</v>
      </c>
      <c r="K65">
        <v>29</v>
      </c>
    </row>
    <row r="66" spans="1:11" x14ac:dyDescent="0.25">
      <c r="A66" t="s">
        <v>169</v>
      </c>
      <c r="B66" t="s">
        <v>702</v>
      </c>
      <c r="C66" t="s">
        <v>170</v>
      </c>
      <c r="D66">
        <v>218</v>
      </c>
      <c r="E66" t="s">
        <v>703</v>
      </c>
      <c r="F66" t="s">
        <v>562</v>
      </c>
      <c r="G66" t="s">
        <v>563</v>
      </c>
      <c r="H66" t="s">
        <v>573</v>
      </c>
      <c r="I66">
        <v>19</v>
      </c>
      <c r="J66">
        <v>419</v>
      </c>
      <c r="K66">
        <v>5</v>
      </c>
    </row>
    <row r="67" spans="1:11" x14ac:dyDescent="0.25">
      <c r="A67" t="s">
        <v>498</v>
      </c>
      <c r="B67" t="s">
        <v>704</v>
      </c>
      <c r="C67" t="s">
        <v>172</v>
      </c>
      <c r="D67">
        <v>818</v>
      </c>
      <c r="E67" t="s">
        <v>705</v>
      </c>
      <c r="F67" t="s">
        <v>546</v>
      </c>
      <c r="G67" t="s">
        <v>547</v>
      </c>
      <c r="H67" t="s">
        <v>534</v>
      </c>
      <c r="I67">
        <v>2</v>
      </c>
      <c r="J67">
        <v>15</v>
      </c>
    </row>
    <row r="68" spans="1:11" x14ac:dyDescent="0.25">
      <c r="A68" t="s">
        <v>173</v>
      </c>
      <c r="B68" t="s">
        <v>706</v>
      </c>
      <c r="C68" t="s">
        <v>174</v>
      </c>
      <c r="D68">
        <v>222</v>
      </c>
      <c r="E68" t="s">
        <v>707</v>
      </c>
      <c r="F68" t="s">
        <v>562</v>
      </c>
      <c r="G68" t="s">
        <v>563</v>
      </c>
      <c r="H68" t="s">
        <v>602</v>
      </c>
      <c r="I68">
        <v>19</v>
      </c>
      <c r="J68">
        <v>419</v>
      </c>
      <c r="K68">
        <v>13</v>
      </c>
    </row>
    <row r="69" spans="1:11" x14ac:dyDescent="0.25">
      <c r="A69" t="s">
        <v>175</v>
      </c>
      <c r="B69" t="s">
        <v>708</v>
      </c>
      <c r="C69" t="s">
        <v>176</v>
      </c>
      <c r="D69">
        <v>226</v>
      </c>
      <c r="E69" t="s">
        <v>709</v>
      </c>
      <c r="F69" t="s">
        <v>546</v>
      </c>
      <c r="G69" t="s">
        <v>556</v>
      </c>
      <c r="H69" t="s">
        <v>557</v>
      </c>
      <c r="I69">
        <v>2</v>
      </c>
      <c r="J69">
        <v>202</v>
      </c>
      <c r="K69">
        <v>17</v>
      </c>
    </row>
    <row r="70" spans="1:11" x14ac:dyDescent="0.25">
      <c r="A70" t="s">
        <v>177</v>
      </c>
      <c r="B70" t="s">
        <v>710</v>
      </c>
      <c r="C70" t="s">
        <v>178</v>
      </c>
      <c r="D70">
        <v>232</v>
      </c>
      <c r="E70" t="s">
        <v>711</v>
      </c>
      <c r="F70" t="s">
        <v>546</v>
      </c>
      <c r="G70" t="s">
        <v>556</v>
      </c>
      <c r="H70" t="s">
        <v>631</v>
      </c>
      <c r="I70">
        <v>2</v>
      </c>
      <c r="J70">
        <v>202</v>
      </c>
      <c r="K70">
        <v>14</v>
      </c>
    </row>
    <row r="71" spans="1:11" x14ac:dyDescent="0.25">
      <c r="A71" t="s">
        <v>179</v>
      </c>
      <c r="B71" t="s">
        <v>712</v>
      </c>
      <c r="C71" t="s">
        <v>180</v>
      </c>
      <c r="D71">
        <v>233</v>
      </c>
      <c r="E71" t="s">
        <v>713</v>
      </c>
      <c r="F71" t="s">
        <v>539</v>
      </c>
      <c r="G71" t="s">
        <v>540</v>
      </c>
      <c r="H71" t="s">
        <v>534</v>
      </c>
      <c r="I71">
        <v>150</v>
      </c>
      <c r="J71">
        <v>154</v>
      </c>
    </row>
    <row r="72" spans="1:11" x14ac:dyDescent="0.25">
      <c r="A72" t="s">
        <v>181</v>
      </c>
      <c r="B72" t="s">
        <v>714</v>
      </c>
      <c r="C72" t="s">
        <v>182</v>
      </c>
      <c r="D72">
        <v>748</v>
      </c>
      <c r="E72" t="s">
        <v>715</v>
      </c>
      <c r="F72" t="s">
        <v>546</v>
      </c>
      <c r="G72" t="s">
        <v>556</v>
      </c>
      <c r="H72" t="s">
        <v>620</v>
      </c>
      <c r="I72">
        <v>2</v>
      </c>
      <c r="J72">
        <v>202</v>
      </c>
      <c r="K72">
        <v>18</v>
      </c>
    </row>
    <row r="73" spans="1:11" x14ac:dyDescent="0.25">
      <c r="A73" t="s">
        <v>183</v>
      </c>
      <c r="B73" t="s">
        <v>716</v>
      </c>
      <c r="C73" t="s">
        <v>184</v>
      </c>
      <c r="D73">
        <v>231</v>
      </c>
      <c r="E73" t="s">
        <v>717</v>
      </c>
      <c r="F73" t="s">
        <v>546</v>
      </c>
      <c r="G73" t="s">
        <v>556</v>
      </c>
      <c r="H73" t="s">
        <v>631</v>
      </c>
      <c r="I73">
        <v>2</v>
      </c>
      <c r="J73">
        <v>202</v>
      </c>
      <c r="K73">
        <v>14</v>
      </c>
    </row>
    <row r="74" spans="1:11" x14ac:dyDescent="0.25">
      <c r="A74" t="s">
        <v>718</v>
      </c>
      <c r="B74" t="s">
        <v>719</v>
      </c>
      <c r="C74" t="s">
        <v>720</v>
      </c>
      <c r="D74">
        <v>238</v>
      </c>
      <c r="E74" t="s">
        <v>721</v>
      </c>
      <c r="F74" t="s">
        <v>562</v>
      </c>
      <c r="G74" t="s">
        <v>563</v>
      </c>
      <c r="H74" t="s">
        <v>573</v>
      </c>
      <c r="I74">
        <v>19</v>
      </c>
      <c r="J74">
        <v>419</v>
      </c>
      <c r="K74">
        <v>5</v>
      </c>
    </row>
    <row r="75" spans="1:11" x14ac:dyDescent="0.25">
      <c r="A75" t="s">
        <v>185</v>
      </c>
      <c r="B75" t="s">
        <v>722</v>
      </c>
      <c r="C75" t="s">
        <v>186</v>
      </c>
      <c r="D75">
        <v>234</v>
      </c>
      <c r="E75" t="s">
        <v>723</v>
      </c>
      <c r="F75" t="s">
        <v>539</v>
      </c>
      <c r="G75" t="s">
        <v>540</v>
      </c>
      <c r="H75" t="s">
        <v>534</v>
      </c>
      <c r="I75">
        <v>150</v>
      </c>
      <c r="J75">
        <v>154</v>
      </c>
    </row>
    <row r="76" spans="1:11" x14ac:dyDescent="0.25">
      <c r="A76" t="s">
        <v>187</v>
      </c>
      <c r="B76" t="s">
        <v>724</v>
      </c>
      <c r="C76" t="s">
        <v>188</v>
      </c>
      <c r="D76">
        <v>242</v>
      </c>
      <c r="E76" t="s">
        <v>725</v>
      </c>
      <c r="F76" t="s">
        <v>550</v>
      </c>
      <c r="G76" t="s">
        <v>726</v>
      </c>
      <c r="H76" t="s">
        <v>534</v>
      </c>
      <c r="I76">
        <v>9</v>
      </c>
      <c r="J76">
        <v>54</v>
      </c>
    </row>
    <row r="77" spans="1:11" x14ac:dyDescent="0.25">
      <c r="A77" t="s">
        <v>189</v>
      </c>
      <c r="B77" t="s">
        <v>727</v>
      </c>
      <c r="C77" t="s">
        <v>190</v>
      </c>
      <c r="D77">
        <v>246</v>
      </c>
      <c r="E77" t="s">
        <v>728</v>
      </c>
      <c r="F77" t="s">
        <v>539</v>
      </c>
      <c r="G77" t="s">
        <v>540</v>
      </c>
      <c r="H77" t="s">
        <v>534</v>
      </c>
      <c r="I77">
        <v>150</v>
      </c>
      <c r="J77">
        <v>154</v>
      </c>
    </row>
    <row r="78" spans="1:11" x14ac:dyDescent="0.25">
      <c r="A78" t="s">
        <v>191</v>
      </c>
      <c r="B78" t="s">
        <v>729</v>
      </c>
      <c r="C78" t="s">
        <v>192</v>
      </c>
      <c r="D78">
        <v>250</v>
      </c>
      <c r="E78" t="s">
        <v>730</v>
      </c>
      <c r="F78" t="s">
        <v>539</v>
      </c>
      <c r="G78" t="s">
        <v>584</v>
      </c>
      <c r="H78" t="s">
        <v>534</v>
      </c>
      <c r="I78">
        <v>150</v>
      </c>
      <c r="J78">
        <v>155</v>
      </c>
    </row>
    <row r="79" spans="1:11" x14ac:dyDescent="0.25">
      <c r="A79" t="s">
        <v>731</v>
      </c>
      <c r="B79" t="s">
        <v>732</v>
      </c>
      <c r="C79" t="s">
        <v>733</v>
      </c>
      <c r="D79">
        <v>254</v>
      </c>
      <c r="E79" t="s">
        <v>734</v>
      </c>
      <c r="F79" t="s">
        <v>562</v>
      </c>
      <c r="G79" t="s">
        <v>563</v>
      </c>
      <c r="H79" t="s">
        <v>573</v>
      </c>
      <c r="I79">
        <v>19</v>
      </c>
      <c r="J79">
        <v>419</v>
      </c>
      <c r="K79">
        <v>5</v>
      </c>
    </row>
    <row r="80" spans="1:11" x14ac:dyDescent="0.25">
      <c r="A80" t="s">
        <v>193</v>
      </c>
      <c r="B80" t="s">
        <v>735</v>
      </c>
      <c r="C80" t="s">
        <v>194</v>
      </c>
      <c r="D80">
        <v>258</v>
      </c>
      <c r="E80" t="s">
        <v>736</v>
      </c>
      <c r="F80" t="s">
        <v>550</v>
      </c>
      <c r="G80" t="s">
        <v>551</v>
      </c>
      <c r="H80" t="s">
        <v>534</v>
      </c>
      <c r="I80">
        <v>9</v>
      </c>
      <c r="J80">
        <v>61</v>
      </c>
    </row>
    <row r="81" spans="1:11" x14ac:dyDescent="0.25">
      <c r="A81" t="s">
        <v>737</v>
      </c>
      <c r="B81" t="s">
        <v>738</v>
      </c>
      <c r="C81" t="s">
        <v>739</v>
      </c>
      <c r="D81">
        <v>260</v>
      </c>
      <c r="E81" t="s">
        <v>740</v>
      </c>
      <c r="F81" t="s">
        <v>546</v>
      </c>
      <c r="G81" t="s">
        <v>556</v>
      </c>
      <c r="H81" t="s">
        <v>631</v>
      </c>
      <c r="I81">
        <v>2</v>
      </c>
      <c r="J81">
        <v>202</v>
      </c>
      <c r="K81">
        <v>14</v>
      </c>
    </row>
    <row r="82" spans="1:11" x14ac:dyDescent="0.25">
      <c r="A82" t="s">
        <v>195</v>
      </c>
      <c r="B82" t="s">
        <v>741</v>
      </c>
      <c r="C82" t="s">
        <v>196</v>
      </c>
      <c r="D82">
        <v>266</v>
      </c>
      <c r="E82" t="s">
        <v>742</v>
      </c>
      <c r="F82" t="s">
        <v>546</v>
      </c>
      <c r="G82" t="s">
        <v>556</v>
      </c>
      <c r="H82" t="s">
        <v>557</v>
      </c>
      <c r="I82">
        <v>2</v>
      </c>
      <c r="J82">
        <v>202</v>
      </c>
      <c r="K82">
        <v>17</v>
      </c>
    </row>
    <row r="83" spans="1:11" x14ac:dyDescent="0.25">
      <c r="A83" t="s">
        <v>499</v>
      </c>
      <c r="B83" t="s">
        <v>743</v>
      </c>
      <c r="C83" t="s">
        <v>198</v>
      </c>
      <c r="D83">
        <v>270</v>
      </c>
      <c r="E83" t="s">
        <v>744</v>
      </c>
      <c r="F83" t="s">
        <v>546</v>
      </c>
      <c r="G83" t="s">
        <v>556</v>
      </c>
      <c r="H83" t="s">
        <v>605</v>
      </c>
      <c r="I83">
        <v>2</v>
      </c>
      <c r="J83">
        <v>202</v>
      </c>
      <c r="K83">
        <v>11</v>
      </c>
    </row>
    <row r="84" spans="1:11" x14ac:dyDescent="0.25">
      <c r="A84" t="s">
        <v>199</v>
      </c>
      <c r="B84" t="s">
        <v>745</v>
      </c>
      <c r="C84" t="s">
        <v>200</v>
      </c>
      <c r="D84">
        <v>268</v>
      </c>
      <c r="E84" t="s">
        <v>746</v>
      </c>
      <c r="F84" t="s">
        <v>532</v>
      </c>
      <c r="G84" t="s">
        <v>576</v>
      </c>
      <c r="H84" t="s">
        <v>534</v>
      </c>
      <c r="I84">
        <v>142</v>
      </c>
      <c r="J84">
        <v>145</v>
      </c>
    </row>
    <row r="85" spans="1:11" x14ac:dyDescent="0.25">
      <c r="A85" t="s">
        <v>201</v>
      </c>
      <c r="B85" t="s">
        <v>747</v>
      </c>
      <c r="C85" t="s">
        <v>202</v>
      </c>
      <c r="D85">
        <v>276</v>
      </c>
      <c r="E85" t="s">
        <v>748</v>
      </c>
      <c r="F85" t="s">
        <v>539</v>
      </c>
      <c r="G85" t="s">
        <v>584</v>
      </c>
      <c r="H85" t="s">
        <v>534</v>
      </c>
      <c r="I85">
        <v>150</v>
      </c>
      <c r="J85">
        <v>155</v>
      </c>
    </row>
    <row r="86" spans="1:11" x14ac:dyDescent="0.25">
      <c r="A86" t="s">
        <v>203</v>
      </c>
      <c r="B86" t="s">
        <v>749</v>
      </c>
      <c r="C86" t="s">
        <v>204</v>
      </c>
      <c r="D86">
        <v>288</v>
      </c>
      <c r="E86" t="s">
        <v>750</v>
      </c>
      <c r="F86" t="s">
        <v>546</v>
      </c>
      <c r="G86" t="s">
        <v>556</v>
      </c>
      <c r="H86" t="s">
        <v>605</v>
      </c>
      <c r="I86">
        <v>2</v>
      </c>
      <c r="J86">
        <v>202</v>
      </c>
      <c r="K86">
        <v>11</v>
      </c>
    </row>
    <row r="87" spans="1:11" x14ac:dyDescent="0.25">
      <c r="A87" t="s">
        <v>205</v>
      </c>
      <c r="B87" t="s">
        <v>751</v>
      </c>
      <c r="C87" t="s">
        <v>206</v>
      </c>
      <c r="D87">
        <v>292</v>
      </c>
      <c r="E87" t="s">
        <v>752</v>
      </c>
      <c r="F87" t="s">
        <v>539</v>
      </c>
      <c r="G87" t="s">
        <v>543</v>
      </c>
      <c r="H87" t="s">
        <v>534</v>
      </c>
      <c r="I87">
        <v>150</v>
      </c>
      <c r="J87">
        <v>39</v>
      </c>
    </row>
    <row r="88" spans="1:11" x14ac:dyDescent="0.25">
      <c r="A88" t="s">
        <v>207</v>
      </c>
      <c r="B88" t="s">
        <v>753</v>
      </c>
      <c r="C88" t="s">
        <v>208</v>
      </c>
      <c r="D88">
        <v>300</v>
      </c>
      <c r="E88" t="s">
        <v>754</v>
      </c>
      <c r="F88" t="s">
        <v>539</v>
      </c>
      <c r="G88" t="s">
        <v>543</v>
      </c>
      <c r="H88" t="s">
        <v>534</v>
      </c>
      <c r="I88">
        <v>150</v>
      </c>
      <c r="J88">
        <v>39</v>
      </c>
    </row>
    <row r="89" spans="1:11" x14ac:dyDescent="0.25">
      <c r="A89" t="s">
        <v>209</v>
      </c>
      <c r="B89" t="s">
        <v>755</v>
      </c>
      <c r="C89" t="s">
        <v>210</v>
      </c>
      <c r="D89">
        <v>304</v>
      </c>
      <c r="E89" t="s">
        <v>756</v>
      </c>
      <c r="F89" t="s">
        <v>562</v>
      </c>
      <c r="G89" t="s">
        <v>608</v>
      </c>
      <c r="H89" t="s">
        <v>534</v>
      </c>
      <c r="I89">
        <v>19</v>
      </c>
      <c r="J89">
        <v>21</v>
      </c>
    </row>
    <row r="90" spans="1:11" x14ac:dyDescent="0.25">
      <c r="A90" t="s">
        <v>211</v>
      </c>
      <c r="B90" t="s">
        <v>757</v>
      </c>
      <c r="C90" t="s">
        <v>212</v>
      </c>
      <c r="D90">
        <v>308</v>
      </c>
      <c r="E90" t="s">
        <v>758</v>
      </c>
      <c r="F90" t="s">
        <v>562</v>
      </c>
      <c r="G90" t="s">
        <v>563</v>
      </c>
      <c r="H90" t="s">
        <v>564</v>
      </c>
      <c r="I90">
        <v>19</v>
      </c>
      <c r="J90">
        <v>419</v>
      </c>
      <c r="K90">
        <v>29</v>
      </c>
    </row>
    <row r="91" spans="1:11" x14ac:dyDescent="0.25">
      <c r="A91" t="s">
        <v>759</v>
      </c>
      <c r="B91" t="s">
        <v>760</v>
      </c>
      <c r="C91" t="s">
        <v>761</v>
      </c>
      <c r="D91">
        <v>312</v>
      </c>
      <c r="E91" t="s">
        <v>762</v>
      </c>
      <c r="F91" t="s">
        <v>562</v>
      </c>
      <c r="G91" t="s">
        <v>563</v>
      </c>
      <c r="H91" t="s">
        <v>564</v>
      </c>
      <c r="I91">
        <v>19</v>
      </c>
      <c r="J91">
        <v>419</v>
      </c>
      <c r="K91">
        <v>29</v>
      </c>
    </row>
    <row r="92" spans="1:11" x14ac:dyDescent="0.25">
      <c r="A92" t="s">
        <v>213</v>
      </c>
      <c r="B92" t="s">
        <v>763</v>
      </c>
      <c r="C92" t="s">
        <v>214</v>
      </c>
      <c r="D92">
        <v>316</v>
      </c>
      <c r="E92" t="s">
        <v>764</v>
      </c>
      <c r="F92" t="s">
        <v>550</v>
      </c>
      <c r="G92" t="s">
        <v>765</v>
      </c>
      <c r="H92" t="s">
        <v>534</v>
      </c>
      <c r="I92">
        <v>9</v>
      </c>
      <c r="J92">
        <v>57</v>
      </c>
    </row>
    <row r="93" spans="1:11" x14ac:dyDescent="0.25">
      <c r="A93" t="s">
        <v>215</v>
      </c>
      <c r="B93" t="s">
        <v>766</v>
      </c>
      <c r="C93" t="s">
        <v>216</v>
      </c>
      <c r="D93">
        <v>320</v>
      </c>
      <c r="E93" t="s">
        <v>767</v>
      </c>
      <c r="F93" t="s">
        <v>562</v>
      </c>
      <c r="G93" t="s">
        <v>563</v>
      </c>
      <c r="H93" t="s">
        <v>602</v>
      </c>
      <c r="I93">
        <v>19</v>
      </c>
      <c r="J93">
        <v>419</v>
      </c>
      <c r="K93">
        <v>13</v>
      </c>
    </row>
    <row r="94" spans="1:11" x14ac:dyDescent="0.25">
      <c r="A94" t="s">
        <v>768</v>
      </c>
      <c r="B94" t="s">
        <v>769</v>
      </c>
      <c r="C94" t="s">
        <v>770</v>
      </c>
      <c r="D94">
        <v>831</v>
      </c>
      <c r="E94" t="s">
        <v>771</v>
      </c>
      <c r="F94" t="s">
        <v>539</v>
      </c>
      <c r="G94" t="s">
        <v>540</v>
      </c>
      <c r="H94" t="s">
        <v>534</v>
      </c>
      <c r="I94">
        <v>150</v>
      </c>
      <c r="J94">
        <v>154</v>
      </c>
    </row>
    <row r="95" spans="1:11" x14ac:dyDescent="0.25">
      <c r="A95" t="s">
        <v>217</v>
      </c>
      <c r="B95" t="s">
        <v>772</v>
      </c>
      <c r="C95" t="s">
        <v>218</v>
      </c>
      <c r="D95">
        <v>324</v>
      </c>
      <c r="E95" t="s">
        <v>773</v>
      </c>
      <c r="F95" t="s">
        <v>546</v>
      </c>
      <c r="G95" t="s">
        <v>556</v>
      </c>
      <c r="H95" t="s">
        <v>605</v>
      </c>
      <c r="I95">
        <v>2</v>
      </c>
      <c r="J95">
        <v>202</v>
      </c>
      <c r="K95">
        <v>11</v>
      </c>
    </row>
    <row r="96" spans="1:11" x14ac:dyDescent="0.25">
      <c r="A96" t="s">
        <v>219</v>
      </c>
      <c r="B96" t="s">
        <v>774</v>
      </c>
      <c r="C96" t="s">
        <v>220</v>
      </c>
      <c r="D96">
        <v>624</v>
      </c>
      <c r="E96" t="s">
        <v>775</v>
      </c>
      <c r="F96" t="s">
        <v>546</v>
      </c>
      <c r="G96" t="s">
        <v>556</v>
      </c>
      <c r="H96" t="s">
        <v>605</v>
      </c>
      <c r="I96">
        <v>2</v>
      </c>
      <c r="J96">
        <v>202</v>
      </c>
      <c r="K96">
        <v>11</v>
      </c>
    </row>
    <row r="97" spans="1:11" x14ac:dyDescent="0.25">
      <c r="A97" t="s">
        <v>221</v>
      </c>
      <c r="B97" t="s">
        <v>776</v>
      </c>
      <c r="C97" t="s">
        <v>222</v>
      </c>
      <c r="D97">
        <v>328</v>
      </c>
      <c r="E97" t="s">
        <v>777</v>
      </c>
      <c r="F97" t="s">
        <v>562</v>
      </c>
      <c r="G97" t="s">
        <v>563</v>
      </c>
      <c r="H97" t="s">
        <v>573</v>
      </c>
      <c r="I97">
        <v>19</v>
      </c>
      <c r="J97">
        <v>419</v>
      </c>
      <c r="K97">
        <v>5</v>
      </c>
    </row>
    <row r="98" spans="1:11" x14ac:dyDescent="0.25">
      <c r="A98" t="s">
        <v>223</v>
      </c>
      <c r="B98" t="s">
        <v>778</v>
      </c>
      <c r="C98" t="s">
        <v>224</v>
      </c>
      <c r="D98">
        <v>332</v>
      </c>
      <c r="E98" t="s">
        <v>779</v>
      </c>
      <c r="F98" t="s">
        <v>562</v>
      </c>
      <c r="G98" t="s">
        <v>563</v>
      </c>
      <c r="H98" t="s">
        <v>564</v>
      </c>
      <c r="I98">
        <v>19</v>
      </c>
      <c r="J98">
        <v>419</v>
      </c>
      <c r="K98">
        <v>29</v>
      </c>
    </row>
    <row r="99" spans="1:11" x14ac:dyDescent="0.25">
      <c r="A99" t="s">
        <v>780</v>
      </c>
      <c r="B99" t="s">
        <v>781</v>
      </c>
      <c r="C99" t="s">
        <v>782</v>
      </c>
      <c r="D99">
        <v>334</v>
      </c>
      <c r="E99" t="s">
        <v>783</v>
      </c>
      <c r="F99" t="s">
        <v>550</v>
      </c>
      <c r="G99" t="s">
        <v>581</v>
      </c>
      <c r="H99" t="s">
        <v>534</v>
      </c>
      <c r="I99">
        <v>9</v>
      </c>
      <c r="J99">
        <v>53</v>
      </c>
    </row>
    <row r="100" spans="1:11" x14ac:dyDescent="0.25">
      <c r="A100" t="s">
        <v>784</v>
      </c>
      <c r="B100" t="s">
        <v>785</v>
      </c>
      <c r="C100" t="s">
        <v>786</v>
      </c>
      <c r="D100">
        <v>336</v>
      </c>
      <c r="E100" t="s">
        <v>787</v>
      </c>
      <c r="F100" t="s">
        <v>539</v>
      </c>
      <c r="G100" t="s">
        <v>543</v>
      </c>
      <c r="H100" t="s">
        <v>534</v>
      </c>
      <c r="I100">
        <v>150</v>
      </c>
      <c r="J100">
        <v>39</v>
      </c>
    </row>
    <row r="101" spans="1:11" x14ac:dyDescent="0.25">
      <c r="A101" t="s">
        <v>225</v>
      </c>
      <c r="B101" t="s">
        <v>788</v>
      </c>
      <c r="C101" t="s">
        <v>226</v>
      </c>
      <c r="D101">
        <v>340</v>
      </c>
      <c r="E101" t="s">
        <v>789</v>
      </c>
      <c r="F101" t="s">
        <v>562</v>
      </c>
      <c r="G101" t="s">
        <v>563</v>
      </c>
      <c r="H101" t="s">
        <v>602</v>
      </c>
      <c r="I101">
        <v>19</v>
      </c>
      <c r="J101">
        <v>419</v>
      </c>
      <c r="K101">
        <v>13</v>
      </c>
    </row>
    <row r="102" spans="1:11" x14ac:dyDescent="0.25">
      <c r="A102" t="s">
        <v>790</v>
      </c>
      <c r="B102" t="s">
        <v>791</v>
      </c>
      <c r="C102" t="s">
        <v>228</v>
      </c>
      <c r="D102">
        <v>344</v>
      </c>
      <c r="E102" t="s">
        <v>792</v>
      </c>
      <c r="F102" t="s">
        <v>532</v>
      </c>
      <c r="G102" t="s">
        <v>659</v>
      </c>
      <c r="H102" t="s">
        <v>534</v>
      </c>
      <c r="I102">
        <v>142</v>
      </c>
      <c r="J102">
        <v>30</v>
      </c>
    </row>
    <row r="103" spans="1:11" x14ac:dyDescent="0.25">
      <c r="A103" t="s">
        <v>229</v>
      </c>
      <c r="B103" t="s">
        <v>793</v>
      </c>
      <c r="C103" t="s">
        <v>230</v>
      </c>
      <c r="D103">
        <v>348</v>
      </c>
      <c r="E103" t="s">
        <v>794</v>
      </c>
      <c r="F103" t="s">
        <v>539</v>
      </c>
      <c r="G103" t="s">
        <v>597</v>
      </c>
      <c r="H103" t="s">
        <v>534</v>
      </c>
      <c r="I103">
        <v>150</v>
      </c>
      <c r="J103">
        <v>151</v>
      </c>
    </row>
    <row r="104" spans="1:11" x14ac:dyDescent="0.25">
      <c r="A104" t="s">
        <v>231</v>
      </c>
      <c r="B104" t="s">
        <v>795</v>
      </c>
      <c r="C104" t="s">
        <v>232</v>
      </c>
      <c r="D104">
        <v>352</v>
      </c>
      <c r="E104" t="s">
        <v>796</v>
      </c>
      <c r="F104" t="s">
        <v>539</v>
      </c>
      <c r="G104" t="s">
        <v>540</v>
      </c>
      <c r="H104" t="s">
        <v>534</v>
      </c>
      <c r="I104">
        <v>150</v>
      </c>
      <c r="J104">
        <v>154</v>
      </c>
    </row>
    <row r="105" spans="1:11" x14ac:dyDescent="0.25">
      <c r="A105" t="s">
        <v>233</v>
      </c>
      <c r="B105" t="s">
        <v>797</v>
      </c>
      <c r="C105" t="s">
        <v>234</v>
      </c>
      <c r="D105">
        <v>356</v>
      </c>
      <c r="E105" t="s">
        <v>798</v>
      </c>
      <c r="F105" t="s">
        <v>532</v>
      </c>
      <c r="G105" t="s">
        <v>533</v>
      </c>
      <c r="H105" t="s">
        <v>534</v>
      </c>
      <c r="I105">
        <v>142</v>
      </c>
      <c r="J105">
        <v>34</v>
      </c>
    </row>
    <row r="106" spans="1:11" x14ac:dyDescent="0.25">
      <c r="A106" t="s">
        <v>235</v>
      </c>
      <c r="B106" t="s">
        <v>799</v>
      </c>
      <c r="C106" t="s">
        <v>236</v>
      </c>
      <c r="D106">
        <v>360</v>
      </c>
      <c r="E106" t="s">
        <v>800</v>
      </c>
      <c r="F106" t="s">
        <v>532</v>
      </c>
      <c r="G106" t="s">
        <v>634</v>
      </c>
      <c r="H106" t="s">
        <v>534</v>
      </c>
      <c r="I106">
        <v>142</v>
      </c>
      <c r="J106">
        <v>35</v>
      </c>
    </row>
    <row r="107" spans="1:11" x14ac:dyDescent="0.25">
      <c r="A107" t="s">
        <v>500</v>
      </c>
      <c r="B107" t="s">
        <v>801</v>
      </c>
      <c r="C107" t="s">
        <v>238</v>
      </c>
      <c r="D107">
        <v>364</v>
      </c>
      <c r="E107" t="s">
        <v>802</v>
      </c>
      <c r="F107" t="s">
        <v>532</v>
      </c>
      <c r="G107" t="s">
        <v>533</v>
      </c>
      <c r="H107" t="s">
        <v>534</v>
      </c>
      <c r="I107">
        <v>142</v>
      </c>
      <c r="J107">
        <v>34</v>
      </c>
    </row>
    <row r="108" spans="1:11" x14ac:dyDescent="0.25">
      <c r="A108" t="s">
        <v>239</v>
      </c>
      <c r="B108" t="s">
        <v>803</v>
      </c>
      <c r="C108" t="s">
        <v>240</v>
      </c>
      <c r="D108">
        <v>368</v>
      </c>
      <c r="E108" t="s">
        <v>804</v>
      </c>
      <c r="F108" t="s">
        <v>532</v>
      </c>
      <c r="G108" t="s">
        <v>576</v>
      </c>
      <c r="H108" t="s">
        <v>534</v>
      </c>
      <c r="I108">
        <v>142</v>
      </c>
      <c r="J108">
        <v>145</v>
      </c>
    </row>
    <row r="109" spans="1:11" x14ac:dyDescent="0.25">
      <c r="A109" t="s">
        <v>241</v>
      </c>
      <c r="B109" t="s">
        <v>805</v>
      </c>
      <c r="C109" t="s">
        <v>242</v>
      </c>
      <c r="D109">
        <v>372</v>
      </c>
      <c r="E109" t="s">
        <v>806</v>
      </c>
      <c r="F109" t="s">
        <v>539</v>
      </c>
      <c r="G109" t="s">
        <v>540</v>
      </c>
      <c r="H109" t="s">
        <v>534</v>
      </c>
      <c r="I109">
        <v>150</v>
      </c>
      <c r="J109">
        <v>154</v>
      </c>
    </row>
    <row r="110" spans="1:11" x14ac:dyDescent="0.25">
      <c r="A110" t="s">
        <v>243</v>
      </c>
      <c r="B110" t="s">
        <v>807</v>
      </c>
      <c r="C110" t="s">
        <v>244</v>
      </c>
      <c r="D110">
        <v>833</v>
      </c>
      <c r="E110" t="s">
        <v>808</v>
      </c>
      <c r="F110" t="s">
        <v>539</v>
      </c>
      <c r="G110" t="s">
        <v>540</v>
      </c>
      <c r="H110" t="s">
        <v>534</v>
      </c>
      <c r="I110">
        <v>150</v>
      </c>
      <c r="J110">
        <v>154</v>
      </c>
    </row>
    <row r="111" spans="1:11" x14ac:dyDescent="0.25">
      <c r="A111" t="s">
        <v>245</v>
      </c>
      <c r="B111" t="s">
        <v>809</v>
      </c>
      <c r="C111" t="s">
        <v>246</v>
      </c>
      <c r="D111">
        <v>376</v>
      </c>
      <c r="E111" t="s">
        <v>810</v>
      </c>
      <c r="F111" t="s">
        <v>532</v>
      </c>
      <c r="G111" t="s">
        <v>576</v>
      </c>
      <c r="H111" t="s">
        <v>534</v>
      </c>
      <c r="I111">
        <v>142</v>
      </c>
      <c r="J111">
        <v>145</v>
      </c>
    </row>
    <row r="112" spans="1:11" x14ac:dyDescent="0.25">
      <c r="A112" t="s">
        <v>247</v>
      </c>
      <c r="B112" t="s">
        <v>811</v>
      </c>
      <c r="C112" t="s">
        <v>248</v>
      </c>
      <c r="D112">
        <v>380</v>
      </c>
      <c r="E112" t="s">
        <v>812</v>
      </c>
      <c r="F112" t="s">
        <v>539</v>
      </c>
      <c r="G112" t="s">
        <v>543</v>
      </c>
      <c r="H112" t="s">
        <v>534</v>
      </c>
      <c r="I112">
        <v>150</v>
      </c>
      <c r="J112">
        <v>39</v>
      </c>
    </row>
    <row r="113" spans="1:11" x14ac:dyDescent="0.25">
      <c r="A113" t="s">
        <v>249</v>
      </c>
      <c r="B113" t="s">
        <v>813</v>
      </c>
      <c r="C113" t="s">
        <v>250</v>
      </c>
      <c r="D113">
        <v>388</v>
      </c>
      <c r="E113" t="s">
        <v>814</v>
      </c>
      <c r="F113" t="s">
        <v>562</v>
      </c>
      <c r="G113" t="s">
        <v>563</v>
      </c>
      <c r="H113" t="s">
        <v>564</v>
      </c>
      <c r="I113">
        <v>19</v>
      </c>
      <c r="J113">
        <v>419</v>
      </c>
      <c r="K113">
        <v>29</v>
      </c>
    </row>
    <row r="114" spans="1:11" x14ac:dyDescent="0.25">
      <c r="A114" t="s">
        <v>251</v>
      </c>
      <c r="B114" t="s">
        <v>815</v>
      </c>
      <c r="C114" t="s">
        <v>252</v>
      </c>
      <c r="D114">
        <v>392</v>
      </c>
      <c r="E114" t="s">
        <v>816</v>
      </c>
      <c r="F114" t="s">
        <v>532</v>
      </c>
      <c r="G114" t="s">
        <v>659</v>
      </c>
      <c r="H114" t="s">
        <v>534</v>
      </c>
      <c r="I114">
        <v>142</v>
      </c>
      <c r="J114">
        <v>30</v>
      </c>
    </row>
    <row r="115" spans="1:11" x14ac:dyDescent="0.25">
      <c r="A115" t="s">
        <v>817</v>
      </c>
      <c r="B115" t="s">
        <v>818</v>
      </c>
      <c r="C115" t="s">
        <v>819</v>
      </c>
      <c r="D115">
        <v>832</v>
      </c>
      <c r="E115" t="s">
        <v>820</v>
      </c>
      <c r="F115" t="s">
        <v>539</v>
      </c>
      <c r="G115" t="s">
        <v>540</v>
      </c>
      <c r="H115" t="s">
        <v>534</v>
      </c>
      <c r="I115">
        <v>150</v>
      </c>
      <c r="J115">
        <v>154</v>
      </c>
    </row>
    <row r="116" spans="1:11" x14ac:dyDescent="0.25">
      <c r="A116" t="s">
        <v>253</v>
      </c>
      <c r="B116" t="s">
        <v>821</v>
      </c>
      <c r="C116" t="s">
        <v>254</v>
      </c>
      <c r="D116">
        <v>400</v>
      </c>
      <c r="E116" t="s">
        <v>822</v>
      </c>
      <c r="F116" t="s">
        <v>532</v>
      </c>
      <c r="G116" t="s">
        <v>576</v>
      </c>
      <c r="H116" t="s">
        <v>534</v>
      </c>
      <c r="I116">
        <v>142</v>
      </c>
      <c r="J116">
        <v>145</v>
      </c>
    </row>
    <row r="117" spans="1:11" x14ac:dyDescent="0.25">
      <c r="A117" t="s">
        <v>255</v>
      </c>
      <c r="B117" t="s">
        <v>823</v>
      </c>
      <c r="C117" t="s">
        <v>256</v>
      </c>
      <c r="D117">
        <v>398</v>
      </c>
      <c r="E117" t="s">
        <v>824</v>
      </c>
      <c r="F117" t="s">
        <v>532</v>
      </c>
      <c r="G117" t="s">
        <v>825</v>
      </c>
      <c r="H117" t="s">
        <v>534</v>
      </c>
      <c r="I117">
        <v>142</v>
      </c>
      <c r="J117">
        <v>143</v>
      </c>
    </row>
    <row r="118" spans="1:11" x14ac:dyDescent="0.25">
      <c r="A118" t="s">
        <v>257</v>
      </c>
      <c r="B118" t="s">
        <v>826</v>
      </c>
      <c r="C118" t="s">
        <v>258</v>
      </c>
      <c r="D118">
        <v>404</v>
      </c>
      <c r="E118" t="s">
        <v>827</v>
      </c>
      <c r="F118" t="s">
        <v>546</v>
      </c>
      <c r="G118" t="s">
        <v>556</v>
      </c>
      <c r="H118" t="s">
        <v>631</v>
      </c>
      <c r="I118">
        <v>2</v>
      </c>
      <c r="J118">
        <v>202</v>
      </c>
      <c r="K118">
        <v>14</v>
      </c>
    </row>
    <row r="119" spans="1:11" x14ac:dyDescent="0.25">
      <c r="A119" t="s">
        <v>259</v>
      </c>
      <c r="B119" t="s">
        <v>828</v>
      </c>
      <c r="C119" t="s">
        <v>260</v>
      </c>
      <c r="D119">
        <v>296</v>
      </c>
      <c r="E119" t="s">
        <v>829</v>
      </c>
      <c r="F119" t="s">
        <v>550</v>
      </c>
      <c r="G119" t="s">
        <v>765</v>
      </c>
      <c r="H119" t="s">
        <v>534</v>
      </c>
      <c r="I119">
        <v>9</v>
      </c>
      <c r="J119">
        <v>57</v>
      </c>
    </row>
    <row r="120" spans="1:11" x14ac:dyDescent="0.25">
      <c r="A120" t="s">
        <v>501</v>
      </c>
      <c r="B120" t="s">
        <v>830</v>
      </c>
      <c r="C120" t="s">
        <v>262</v>
      </c>
      <c r="D120">
        <v>408</v>
      </c>
      <c r="E120" t="s">
        <v>831</v>
      </c>
      <c r="F120" t="s">
        <v>532</v>
      </c>
      <c r="G120" t="s">
        <v>659</v>
      </c>
      <c r="H120" t="s">
        <v>534</v>
      </c>
      <c r="I120">
        <v>142</v>
      </c>
      <c r="J120">
        <v>30</v>
      </c>
    </row>
    <row r="121" spans="1:11" x14ac:dyDescent="0.25">
      <c r="A121" t="s">
        <v>502</v>
      </c>
      <c r="B121" t="s">
        <v>832</v>
      </c>
      <c r="C121" t="s">
        <v>264</v>
      </c>
      <c r="D121">
        <v>410</v>
      </c>
      <c r="E121" t="s">
        <v>833</v>
      </c>
      <c r="F121" t="s">
        <v>532</v>
      </c>
      <c r="G121" t="s">
        <v>659</v>
      </c>
      <c r="H121" t="s">
        <v>534</v>
      </c>
      <c r="I121">
        <v>142</v>
      </c>
      <c r="J121">
        <v>30</v>
      </c>
    </row>
    <row r="122" spans="1:11" x14ac:dyDescent="0.25">
      <c r="A122" t="s">
        <v>267</v>
      </c>
      <c r="B122" t="s">
        <v>834</v>
      </c>
      <c r="C122" t="s">
        <v>268</v>
      </c>
      <c r="D122">
        <v>414</v>
      </c>
      <c r="E122" t="s">
        <v>835</v>
      </c>
      <c r="F122" t="s">
        <v>532</v>
      </c>
      <c r="G122" t="s">
        <v>576</v>
      </c>
      <c r="H122" t="s">
        <v>534</v>
      </c>
      <c r="I122">
        <v>142</v>
      </c>
      <c r="J122">
        <v>145</v>
      </c>
    </row>
    <row r="123" spans="1:11" x14ac:dyDescent="0.25">
      <c r="A123" t="s">
        <v>836</v>
      </c>
      <c r="B123" t="s">
        <v>837</v>
      </c>
      <c r="C123" t="s">
        <v>270</v>
      </c>
      <c r="D123">
        <v>417</v>
      </c>
      <c r="E123" t="s">
        <v>838</v>
      </c>
      <c r="F123" t="s">
        <v>532</v>
      </c>
      <c r="G123" t="s">
        <v>825</v>
      </c>
      <c r="H123" t="s">
        <v>534</v>
      </c>
      <c r="I123">
        <v>142</v>
      </c>
      <c r="J123">
        <v>143</v>
      </c>
    </row>
    <row r="124" spans="1:11" x14ac:dyDescent="0.25">
      <c r="A124" t="s">
        <v>503</v>
      </c>
      <c r="B124" t="s">
        <v>839</v>
      </c>
      <c r="C124" t="s">
        <v>272</v>
      </c>
      <c r="D124">
        <v>418</v>
      </c>
      <c r="E124" t="s">
        <v>840</v>
      </c>
      <c r="F124" t="s">
        <v>532</v>
      </c>
      <c r="G124" t="s">
        <v>634</v>
      </c>
      <c r="H124" t="s">
        <v>534</v>
      </c>
      <c r="I124">
        <v>142</v>
      </c>
      <c r="J124">
        <v>35</v>
      </c>
    </row>
    <row r="125" spans="1:11" x14ac:dyDescent="0.25">
      <c r="A125" t="s">
        <v>273</v>
      </c>
      <c r="B125" t="s">
        <v>841</v>
      </c>
      <c r="C125" t="s">
        <v>274</v>
      </c>
      <c r="D125">
        <v>428</v>
      </c>
      <c r="E125" t="s">
        <v>842</v>
      </c>
      <c r="F125" t="s">
        <v>539</v>
      </c>
      <c r="G125" t="s">
        <v>540</v>
      </c>
      <c r="H125" t="s">
        <v>534</v>
      </c>
      <c r="I125">
        <v>150</v>
      </c>
      <c r="J125">
        <v>154</v>
      </c>
    </row>
    <row r="126" spans="1:11" x14ac:dyDescent="0.25">
      <c r="A126" t="s">
        <v>275</v>
      </c>
      <c r="B126" t="s">
        <v>843</v>
      </c>
      <c r="C126" t="s">
        <v>276</v>
      </c>
      <c r="D126">
        <v>422</v>
      </c>
      <c r="E126" t="s">
        <v>844</v>
      </c>
      <c r="F126" t="s">
        <v>532</v>
      </c>
      <c r="G126" t="s">
        <v>576</v>
      </c>
      <c r="H126" t="s">
        <v>534</v>
      </c>
      <c r="I126">
        <v>142</v>
      </c>
      <c r="J126">
        <v>145</v>
      </c>
    </row>
    <row r="127" spans="1:11" x14ac:dyDescent="0.25">
      <c r="A127" t="s">
        <v>277</v>
      </c>
      <c r="B127" t="s">
        <v>845</v>
      </c>
      <c r="C127" t="s">
        <v>278</v>
      </c>
      <c r="D127">
        <v>426</v>
      </c>
      <c r="E127" t="s">
        <v>846</v>
      </c>
      <c r="F127" t="s">
        <v>546</v>
      </c>
      <c r="G127" t="s">
        <v>556</v>
      </c>
      <c r="H127" t="s">
        <v>620</v>
      </c>
      <c r="I127">
        <v>2</v>
      </c>
      <c r="J127">
        <v>202</v>
      </c>
      <c r="K127">
        <v>18</v>
      </c>
    </row>
    <row r="128" spans="1:11" x14ac:dyDescent="0.25">
      <c r="A128" t="s">
        <v>279</v>
      </c>
      <c r="B128" t="s">
        <v>847</v>
      </c>
      <c r="C128" t="s">
        <v>280</v>
      </c>
      <c r="D128">
        <v>430</v>
      </c>
      <c r="E128" t="s">
        <v>848</v>
      </c>
      <c r="F128" t="s">
        <v>546</v>
      </c>
      <c r="G128" t="s">
        <v>556</v>
      </c>
      <c r="H128" t="s">
        <v>605</v>
      </c>
      <c r="I128">
        <v>2</v>
      </c>
      <c r="J128">
        <v>202</v>
      </c>
      <c r="K128">
        <v>11</v>
      </c>
    </row>
    <row r="129" spans="1:11" x14ac:dyDescent="0.25">
      <c r="A129" t="s">
        <v>281</v>
      </c>
      <c r="B129" t="s">
        <v>849</v>
      </c>
      <c r="C129" t="s">
        <v>282</v>
      </c>
      <c r="D129">
        <v>434</v>
      </c>
      <c r="E129" t="s">
        <v>850</v>
      </c>
      <c r="F129" t="s">
        <v>546</v>
      </c>
      <c r="G129" t="s">
        <v>547</v>
      </c>
      <c r="H129" t="s">
        <v>534</v>
      </c>
      <c r="I129">
        <v>2</v>
      </c>
      <c r="J129">
        <v>15</v>
      </c>
    </row>
    <row r="130" spans="1:11" x14ac:dyDescent="0.25">
      <c r="A130" t="s">
        <v>283</v>
      </c>
      <c r="B130" t="s">
        <v>851</v>
      </c>
      <c r="C130" t="s">
        <v>284</v>
      </c>
      <c r="D130">
        <v>438</v>
      </c>
      <c r="E130" t="s">
        <v>852</v>
      </c>
      <c r="F130" t="s">
        <v>539</v>
      </c>
      <c r="G130" t="s">
        <v>584</v>
      </c>
      <c r="H130" t="s">
        <v>534</v>
      </c>
      <c r="I130">
        <v>150</v>
      </c>
      <c r="J130">
        <v>155</v>
      </c>
    </row>
    <row r="131" spans="1:11" x14ac:dyDescent="0.25">
      <c r="A131" t="s">
        <v>285</v>
      </c>
      <c r="B131" t="s">
        <v>853</v>
      </c>
      <c r="C131" t="s">
        <v>286</v>
      </c>
      <c r="D131">
        <v>440</v>
      </c>
      <c r="E131" t="s">
        <v>854</v>
      </c>
      <c r="F131" t="s">
        <v>539</v>
      </c>
      <c r="G131" t="s">
        <v>540</v>
      </c>
      <c r="H131" t="s">
        <v>534</v>
      </c>
      <c r="I131">
        <v>150</v>
      </c>
      <c r="J131">
        <v>154</v>
      </c>
    </row>
    <row r="132" spans="1:11" x14ac:dyDescent="0.25">
      <c r="A132" t="s">
        <v>287</v>
      </c>
      <c r="B132" t="s">
        <v>855</v>
      </c>
      <c r="C132" t="s">
        <v>288</v>
      </c>
      <c r="D132">
        <v>442</v>
      </c>
      <c r="E132" t="s">
        <v>856</v>
      </c>
      <c r="F132" t="s">
        <v>539</v>
      </c>
      <c r="G132" t="s">
        <v>584</v>
      </c>
      <c r="H132" t="s">
        <v>534</v>
      </c>
      <c r="I132">
        <v>150</v>
      </c>
      <c r="J132">
        <v>155</v>
      </c>
    </row>
    <row r="133" spans="1:11" x14ac:dyDescent="0.25">
      <c r="A133" t="s">
        <v>857</v>
      </c>
      <c r="B133" t="s">
        <v>858</v>
      </c>
      <c r="C133" t="s">
        <v>290</v>
      </c>
      <c r="D133">
        <v>446</v>
      </c>
      <c r="E133" t="s">
        <v>859</v>
      </c>
      <c r="F133" t="s">
        <v>532</v>
      </c>
      <c r="G133" t="s">
        <v>659</v>
      </c>
      <c r="H133" t="s">
        <v>534</v>
      </c>
      <c r="I133">
        <v>142</v>
      </c>
      <c r="J133">
        <v>30</v>
      </c>
    </row>
    <row r="134" spans="1:11" x14ac:dyDescent="0.25">
      <c r="A134" t="s">
        <v>291</v>
      </c>
      <c r="B134" t="s">
        <v>860</v>
      </c>
      <c r="C134" t="s">
        <v>292</v>
      </c>
      <c r="D134">
        <v>450</v>
      </c>
      <c r="E134" t="s">
        <v>861</v>
      </c>
      <c r="F134" t="s">
        <v>546</v>
      </c>
      <c r="G134" t="s">
        <v>556</v>
      </c>
      <c r="H134" t="s">
        <v>631</v>
      </c>
      <c r="I134">
        <v>2</v>
      </c>
      <c r="J134">
        <v>202</v>
      </c>
      <c r="K134">
        <v>14</v>
      </c>
    </row>
    <row r="135" spans="1:11" x14ac:dyDescent="0.25">
      <c r="A135" t="s">
        <v>293</v>
      </c>
      <c r="B135" t="s">
        <v>862</v>
      </c>
      <c r="C135" t="s">
        <v>294</v>
      </c>
      <c r="D135">
        <v>454</v>
      </c>
      <c r="E135" t="s">
        <v>863</v>
      </c>
      <c r="F135" t="s">
        <v>546</v>
      </c>
      <c r="G135" t="s">
        <v>556</v>
      </c>
      <c r="H135" t="s">
        <v>631</v>
      </c>
      <c r="I135">
        <v>2</v>
      </c>
      <c r="J135">
        <v>202</v>
      </c>
      <c r="K135">
        <v>14</v>
      </c>
    </row>
    <row r="136" spans="1:11" x14ac:dyDescent="0.25">
      <c r="A136" t="s">
        <v>295</v>
      </c>
      <c r="B136" t="s">
        <v>864</v>
      </c>
      <c r="C136" t="s">
        <v>296</v>
      </c>
      <c r="D136">
        <v>458</v>
      </c>
      <c r="E136" t="s">
        <v>865</v>
      </c>
      <c r="F136" t="s">
        <v>532</v>
      </c>
      <c r="G136" t="s">
        <v>634</v>
      </c>
      <c r="H136" t="s">
        <v>534</v>
      </c>
      <c r="I136">
        <v>142</v>
      </c>
      <c r="J136">
        <v>35</v>
      </c>
    </row>
    <row r="137" spans="1:11" x14ac:dyDescent="0.25">
      <c r="A137" t="s">
        <v>297</v>
      </c>
      <c r="B137" t="s">
        <v>866</v>
      </c>
      <c r="C137" t="s">
        <v>298</v>
      </c>
      <c r="D137">
        <v>462</v>
      </c>
      <c r="E137" t="s">
        <v>867</v>
      </c>
      <c r="F137" t="s">
        <v>532</v>
      </c>
      <c r="G137" t="s">
        <v>533</v>
      </c>
      <c r="H137" t="s">
        <v>534</v>
      </c>
      <c r="I137">
        <v>142</v>
      </c>
      <c r="J137">
        <v>34</v>
      </c>
    </row>
    <row r="138" spans="1:11" x14ac:dyDescent="0.25">
      <c r="A138" t="s">
        <v>299</v>
      </c>
      <c r="B138" t="s">
        <v>868</v>
      </c>
      <c r="C138" t="s">
        <v>300</v>
      </c>
      <c r="D138">
        <v>466</v>
      </c>
      <c r="E138" t="s">
        <v>869</v>
      </c>
      <c r="F138" t="s">
        <v>546</v>
      </c>
      <c r="G138" t="s">
        <v>556</v>
      </c>
      <c r="H138" t="s">
        <v>605</v>
      </c>
      <c r="I138">
        <v>2</v>
      </c>
      <c r="J138">
        <v>202</v>
      </c>
      <c r="K138">
        <v>11</v>
      </c>
    </row>
    <row r="139" spans="1:11" x14ac:dyDescent="0.25">
      <c r="A139" t="s">
        <v>301</v>
      </c>
      <c r="B139" t="s">
        <v>870</v>
      </c>
      <c r="C139" t="s">
        <v>302</v>
      </c>
      <c r="D139">
        <v>470</v>
      </c>
      <c r="E139" t="s">
        <v>871</v>
      </c>
      <c r="F139" t="s">
        <v>539</v>
      </c>
      <c r="G139" t="s">
        <v>543</v>
      </c>
      <c r="H139" t="s">
        <v>534</v>
      </c>
      <c r="I139">
        <v>150</v>
      </c>
      <c r="J139">
        <v>39</v>
      </c>
    </row>
    <row r="140" spans="1:11" x14ac:dyDescent="0.25">
      <c r="A140" t="s">
        <v>303</v>
      </c>
      <c r="B140" t="s">
        <v>872</v>
      </c>
      <c r="C140" t="s">
        <v>304</v>
      </c>
      <c r="D140">
        <v>584</v>
      </c>
      <c r="E140" t="s">
        <v>873</v>
      </c>
      <c r="F140" t="s">
        <v>550</v>
      </c>
      <c r="G140" t="s">
        <v>765</v>
      </c>
      <c r="H140" t="s">
        <v>534</v>
      </c>
      <c r="I140">
        <v>9</v>
      </c>
      <c r="J140">
        <v>57</v>
      </c>
    </row>
    <row r="141" spans="1:11" x14ac:dyDescent="0.25">
      <c r="A141" t="s">
        <v>874</v>
      </c>
      <c r="B141" t="s">
        <v>875</v>
      </c>
      <c r="C141" t="s">
        <v>876</v>
      </c>
      <c r="D141">
        <v>474</v>
      </c>
      <c r="E141" t="s">
        <v>877</v>
      </c>
      <c r="F141" t="s">
        <v>562</v>
      </c>
      <c r="G141" t="s">
        <v>563</v>
      </c>
      <c r="H141" t="s">
        <v>564</v>
      </c>
      <c r="I141">
        <v>19</v>
      </c>
      <c r="J141">
        <v>419</v>
      </c>
      <c r="K141">
        <v>29</v>
      </c>
    </row>
    <row r="142" spans="1:11" x14ac:dyDescent="0.25">
      <c r="A142" t="s">
        <v>305</v>
      </c>
      <c r="B142" t="s">
        <v>878</v>
      </c>
      <c r="C142" t="s">
        <v>306</v>
      </c>
      <c r="D142">
        <v>478</v>
      </c>
      <c r="E142" t="s">
        <v>879</v>
      </c>
      <c r="F142" t="s">
        <v>546</v>
      </c>
      <c r="G142" t="s">
        <v>556</v>
      </c>
      <c r="H142" t="s">
        <v>605</v>
      </c>
      <c r="I142">
        <v>2</v>
      </c>
      <c r="J142">
        <v>202</v>
      </c>
      <c r="K142">
        <v>11</v>
      </c>
    </row>
    <row r="143" spans="1:11" x14ac:dyDescent="0.25">
      <c r="A143" t="s">
        <v>307</v>
      </c>
      <c r="B143" t="s">
        <v>880</v>
      </c>
      <c r="C143" t="s">
        <v>308</v>
      </c>
      <c r="D143">
        <v>480</v>
      </c>
      <c r="E143" t="s">
        <v>881</v>
      </c>
      <c r="F143" t="s">
        <v>546</v>
      </c>
      <c r="G143" t="s">
        <v>556</v>
      </c>
      <c r="H143" t="s">
        <v>631</v>
      </c>
      <c r="I143">
        <v>2</v>
      </c>
      <c r="J143">
        <v>202</v>
      </c>
      <c r="K143">
        <v>14</v>
      </c>
    </row>
    <row r="144" spans="1:11" x14ac:dyDescent="0.25">
      <c r="A144" t="s">
        <v>882</v>
      </c>
      <c r="B144" t="s">
        <v>883</v>
      </c>
      <c r="C144" t="s">
        <v>884</v>
      </c>
      <c r="D144">
        <v>175</v>
      </c>
      <c r="E144" t="s">
        <v>885</v>
      </c>
      <c r="F144" t="s">
        <v>546</v>
      </c>
      <c r="G144" t="s">
        <v>556</v>
      </c>
      <c r="H144" t="s">
        <v>631</v>
      </c>
      <c r="I144">
        <v>2</v>
      </c>
      <c r="J144">
        <v>202</v>
      </c>
      <c r="K144">
        <v>14</v>
      </c>
    </row>
    <row r="145" spans="1:11" x14ac:dyDescent="0.25">
      <c r="A145" t="s">
        <v>309</v>
      </c>
      <c r="B145" t="s">
        <v>886</v>
      </c>
      <c r="C145" t="s">
        <v>310</v>
      </c>
      <c r="D145">
        <v>484</v>
      </c>
      <c r="E145" t="s">
        <v>887</v>
      </c>
      <c r="F145" t="s">
        <v>562</v>
      </c>
      <c r="G145" t="s">
        <v>563</v>
      </c>
      <c r="H145" t="s">
        <v>602</v>
      </c>
      <c r="I145">
        <v>19</v>
      </c>
      <c r="J145">
        <v>419</v>
      </c>
      <c r="K145">
        <v>13</v>
      </c>
    </row>
    <row r="146" spans="1:11" x14ac:dyDescent="0.25">
      <c r="A146" t="s">
        <v>504</v>
      </c>
      <c r="B146" t="s">
        <v>888</v>
      </c>
      <c r="C146" t="s">
        <v>312</v>
      </c>
      <c r="D146">
        <v>583</v>
      </c>
      <c r="E146" t="s">
        <v>889</v>
      </c>
      <c r="F146" t="s">
        <v>550</v>
      </c>
      <c r="G146" t="s">
        <v>765</v>
      </c>
      <c r="H146" t="s">
        <v>534</v>
      </c>
      <c r="I146">
        <v>9</v>
      </c>
      <c r="J146">
        <v>57</v>
      </c>
    </row>
    <row r="147" spans="1:11" x14ac:dyDescent="0.25">
      <c r="A147" t="s">
        <v>505</v>
      </c>
      <c r="B147" t="s">
        <v>890</v>
      </c>
      <c r="C147" t="s">
        <v>314</v>
      </c>
      <c r="D147">
        <v>498</v>
      </c>
      <c r="E147" t="s">
        <v>891</v>
      </c>
      <c r="F147" t="s">
        <v>539</v>
      </c>
      <c r="G147" t="s">
        <v>597</v>
      </c>
      <c r="H147" t="s">
        <v>534</v>
      </c>
      <c r="I147">
        <v>150</v>
      </c>
      <c r="J147">
        <v>151</v>
      </c>
    </row>
    <row r="148" spans="1:11" x14ac:dyDescent="0.25">
      <c r="A148" t="s">
        <v>315</v>
      </c>
      <c r="B148" t="s">
        <v>892</v>
      </c>
      <c r="C148" t="s">
        <v>316</v>
      </c>
      <c r="D148">
        <v>492</v>
      </c>
      <c r="E148" t="s">
        <v>893</v>
      </c>
      <c r="F148" t="s">
        <v>539</v>
      </c>
      <c r="G148" t="s">
        <v>584</v>
      </c>
      <c r="H148" t="s">
        <v>534</v>
      </c>
      <c r="I148">
        <v>150</v>
      </c>
      <c r="J148">
        <v>155</v>
      </c>
    </row>
    <row r="149" spans="1:11" x14ac:dyDescent="0.25">
      <c r="A149" t="s">
        <v>317</v>
      </c>
      <c r="B149" t="s">
        <v>894</v>
      </c>
      <c r="C149" t="s">
        <v>318</v>
      </c>
      <c r="D149">
        <v>496</v>
      </c>
      <c r="E149" t="s">
        <v>895</v>
      </c>
      <c r="F149" t="s">
        <v>532</v>
      </c>
      <c r="G149" t="s">
        <v>659</v>
      </c>
      <c r="H149" t="s">
        <v>534</v>
      </c>
      <c r="I149">
        <v>142</v>
      </c>
      <c r="J149">
        <v>30</v>
      </c>
    </row>
    <row r="150" spans="1:11" x14ac:dyDescent="0.25">
      <c r="A150" t="s">
        <v>319</v>
      </c>
      <c r="B150" t="s">
        <v>896</v>
      </c>
      <c r="C150" t="s">
        <v>320</v>
      </c>
      <c r="D150">
        <v>499</v>
      </c>
      <c r="E150" t="s">
        <v>897</v>
      </c>
      <c r="F150" t="s">
        <v>539</v>
      </c>
      <c r="G150" t="s">
        <v>543</v>
      </c>
      <c r="H150" t="s">
        <v>534</v>
      </c>
      <c r="I150">
        <v>150</v>
      </c>
      <c r="J150">
        <v>39</v>
      </c>
    </row>
    <row r="151" spans="1:11" x14ac:dyDescent="0.25">
      <c r="A151" t="s">
        <v>898</v>
      </c>
      <c r="B151" t="s">
        <v>899</v>
      </c>
      <c r="C151" t="s">
        <v>900</v>
      </c>
      <c r="D151">
        <v>500</v>
      </c>
      <c r="E151" t="s">
        <v>901</v>
      </c>
      <c r="F151" t="s">
        <v>562</v>
      </c>
      <c r="G151" t="s">
        <v>563</v>
      </c>
      <c r="H151" t="s">
        <v>564</v>
      </c>
      <c r="I151">
        <v>19</v>
      </c>
      <c r="J151">
        <v>419</v>
      </c>
      <c r="K151">
        <v>29</v>
      </c>
    </row>
    <row r="152" spans="1:11" x14ac:dyDescent="0.25">
      <c r="A152" t="s">
        <v>321</v>
      </c>
      <c r="B152" t="s">
        <v>902</v>
      </c>
      <c r="C152" t="s">
        <v>322</v>
      </c>
      <c r="D152">
        <v>504</v>
      </c>
      <c r="E152" t="s">
        <v>903</v>
      </c>
      <c r="F152" t="s">
        <v>546</v>
      </c>
      <c r="G152" t="s">
        <v>547</v>
      </c>
      <c r="H152" t="s">
        <v>534</v>
      </c>
      <c r="I152">
        <v>2</v>
      </c>
      <c r="J152">
        <v>15</v>
      </c>
    </row>
    <row r="153" spans="1:11" x14ac:dyDescent="0.25">
      <c r="A153" t="s">
        <v>323</v>
      </c>
      <c r="B153" t="s">
        <v>904</v>
      </c>
      <c r="C153" t="s">
        <v>324</v>
      </c>
      <c r="D153">
        <v>508</v>
      </c>
      <c r="E153" t="s">
        <v>905</v>
      </c>
      <c r="F153" t="s">
        <v>546</v>
      </c>
      <c r="G153" t="s">
        <v>556</v>
      </c>
      <c r="H153" t="s">
        <v>631</v>
      </c>
      <c r="I153">
        <v>2</v>
      </c>
      <c r="J153">
        <v>202</v>
      </c>
      <c r="K153">
        <v>14</v>
      </c>
    </row>
    <row r="154" spans="1:11" x14ac:dyDescent="0.25">
      <c r="A154" t="s">
        <v>325</v>
      </c>
      <c r="B154" t="s">
        <v>906</v>
      </c>
      <c r="C154" t="s">
        <v>326</v>
      </c>
      <c r="D154">
        <v>104</v>
      </c>
      <c r="E154" t="s">
        <v>907</v>
      </c>
      <c r="F154" t="s">
        <v>532</v>
      </c>
      <c r="G154" t="s">
        <v>634</v>
      </c>
      <c r="H154" t="s">
        <v>534</v>
      </c>
      <c r="I154">
        <v>142</v>
      </c>
      <c r="J154">
        <v>35</v>
      </c>
    </row>
    <row r="155" spans="1:11" x14ac:dyDescent="0.25">
      <c r="A155" t="s">
        <v>327</v>
      </c>
      <c r="B155" t="s">
        <v>908</v>
      </c>
      <c r="C155" t="s">
        <v>328</v>
      </c>
      <c r="D155">
        <v>516</v>
      </c>
      <c r="E155" t="s">
        <v>909</v>
      </c>
      <c r="F155" t="s">
        <v>546</v>
      </c>
      <c r="G155" t="s">
        <v>556</v>
      </c>
      <c r="H155" t="s">
        <v>620</v>
      </c>
      <c r="I155">
        <v>2</v>
      </c>
      <c r="J155">
        <v>202</v>
      </c>
      <c r="K155">
        <v>18</v>
      </c>
    </row>
    <row r="156" spans="1:11" x14ac:dyDescent="0.25">
      <c r="A156" t="s">
        <v>329</v>
      </c>
      <c r="B156" t="s">
        <v>910</v>
      </c>
      <c r="C156" t="s">
        <v>330</v>
      </c>
      <c r="D156">
        <v>520</v>
      </c>
      <c r="E156" t="s">
        <v>911</v>
      </c>
      <c r="F156" t="s">
        <v>550</v>
      </c>
      <c r="G156" t="s">
        <v>765</v>
      </c>
      <c r="H156" t="s">
        <v>534</v>
      </c>
      <c r="I156">
        <v>9</v>
      </c>
      <c r="J156">
        <v>57</v>
      </c>
    </row>
    <row r="157" spans="1:11" x14ac:dyDescent="0.25">
      <c r="A157" t="s">
        <v>331</v>
      </c>
      <c r="B157" t="s">
        <v>912</v>
      </c>
      <c r="C157" t="s">
        <v>332</v>
      </c>
      <c r="D157">
        <v>524</v>
      </c>
      <c r="E157" t="s">
        <v>913</v>
      </c>
      <c r="F157" t="s">
        <v>532</v>
      </c>
      <c r="G157" t="s">
        <v>533</v>
      </c>
      <c r="H157" t="s">
        <v>534</v>
      </c>
      <c r="I157">
        <v>142</v>
      </c>
      <c r="J157">
        <v>34</v>
      </c>
    </row>
    <row r="158" spans="1:11" x14ac:dyDescent="0.25">
      <c r="A158" t="s">
        <v>506</v>
      </c>
      <c r="B158" t="s">
        <v>914</v>
      </c>
      <c r="C158" t="s">
        <v>334</v>
      </c>
      <c r="D158">
        <v>528</v>
      </c>
      <c r="E158" t="s">
        <v>915</v>
      </c>
      <c r="F158" t="s">
        <v>539</v>
      </c>
      <c r="G158" t="s">
        <v>584</v>
      </c>
      <c r="H158" t="s">
        <v>534</v>
      </c>
      <c r="I158">
        <v>150</v>
      </c>
      <c r="J158">
        <v>155</v>
      </c>
    </row>
    <row r="159" spans="1:11" x14ac:dyDescent="0.25">
      <c r="A159" t="s">
        <v>335</v>
      </c>
      <c r="B159" t="s">
        <v>916</v>
      </c>
      <c r="C159" t="s">
        <v>336</v>
      </c>
      <c r="D159">
        <v>540</v>
      </c>
      <c r="E159" t="s">
        <v>917</v>
      </c>
      <c r="F159" t="s">
        <v>550</v>
      </c>
      <c r="G159" t="s">
        <v>726</v>
      </c>
      <c r="H159" t="s">
        <v>534</v>
      </c>
      <c r="I159">
        <v>9</v>
      </c>
      <c r="J159">
        <v>54</v>
      </c>
    </row>
    <row r="160" spans="1:11" x14ac:dyDescent="0.25">
      <c r="A160" t="s">
        <v>337</v>
      </c>
      <c r="B160" t="s">
        <v>918</v>
      </c>
      <c r="C160" t="s">
        <v>338</v>
      </c>
      <c r="D160">
        <v>554</v>
      </c>
      <c r="E160" t="s">
        <v>919</v>
      </c>
      <c r="F160" t="s">
        <v>550</v>
      </c>
      <c r="G160" t="s">
        <v>581</v>
      </c>
      <c r="H160" t="s">
        <v>534</v>
      </c>
      <c r="I160">
        <v>9</v>
      </c>
      <c r="J160">
        <v>53</v>
      </c>
    </row>
    <row r="161" spans="1:11" x14ac:dyDescent="0.25">
      <c r="A161" t="s">
        <v>339</v>
      </c>
      <c r="B161" t="s">
        <v>920</v>
      </c>
      <c r="C161" t="s">
        <v>340</v>
      </c>
      <c r="D161">
        <v>558</v>
      </c>
      <c r="E161" t="s">
        <v>921</v>
      </c>
      <c r="F161" t="s">
        <v>562</v>
      </c>
      <c r="G161" t="s">
        <v>563</v>
      </c>
      <c r="H161" t="s">
        <v>602</v>
      </c>
      <c r="I161">
        <v>19</v>
      </c>
      <c r="J161">
        <v>419</v>
      </c>
      <c r="K161">
        <v>13</v>
      </c>
    </row>
    <row r="162" spans="1:11" x14ac:dyDescent="0.25">
      <c r="A162" t="s">
        <v>341</v>
      </c>
      <c r="B162" t="s">
        <v>922</v>
      </c>
      <c r="C162" t="s">
        <v>342</v>
      </c>
      <c r="D162">
        <v>562</v>
      </c>
      <c r="E162" t="s">
        <v>923</v>
      </c>
      <c r="F162" t="s">
        <v>546</v>
      </c>
      <c r="G162" t="s">
        <v>556</v>
      </c>
      <c r="H162" t="s">
        <v>605</v>
      </c>
      <c r="I162">
        <v>2</v>
      </c>
      <c r="J162">
        <v>202</v>
      </c>
      <c r="K162">
        <v>11</v>
      </c>
    </row>
    <row r="163" spans="1:11" x14ac:dyDescent="0.25">
      <c r="A163" t="s">
        <v>343</v>
      </c>
      <c r="B163" t="s">
        <v>924</v>
      </c>
      <c r="C163" t="s">
        <v>344</v>
      </c>
      <c r="D163">
        <v>566</v>
      </c>
      <c r="E163" t="s">
        <v>925</v>
      </c>
      <c r="F163" t="s">
        <v>546</v>
      </c>
      <c r="G163" t="s">
        <v>556</v>
      </c>
      <c r="H163" t="s">
        <v>605</v>
      </c>
      <c r="I163">
        <v>2</v>
      </c>
      <c r="J163">
        <v>202</v>
      </c>
      <c r="K163">
        <v>11</v>
      </c>
    </row>
    <row r="164" spans="1:11" x14ac:dyDescent="0.25">
      <c r="A164" t="s">
        <v>926</v>
      </c>
      <c r="B164" t="s">
        <v>927</v>
      </c>
      <c r="C164" t="s">
        <v>928</v>
      </c>
      <c r="D164">
        <v>570</v>
      </c>
      <c r="E164" t="s">
        <v>929</v>
      </c>
      <c r="F164" t="s">
        <v>550</v>
      </c>
      <c r="G164" t="s">
        <v>551</v>
      </c>
      <c r="H164" t="s">
        <v>534</v>
      </c>
      <c r="I164">
        <v>9</v>
      </c>
      <c r="J164">
        <v>61</v>
      </c>
    </row>
    <row r="165" spans="1:11" x14ac:dyDescent="0.25">
      <c r="A165" t="s">
        <v>930</v>
      </c>
      <c r="B165" t="s">
        <v>931</v>
      </c>
      <c r="C165" t="s">
        <v>932</v>
      </c>
      <c r="D165">
        <v>574</v>
      </c>
      <c r="E165" t="s">
        <v>933</v>
      </c>
      <c r="F165" t="s">
        <v>550</v>
      </c>
      <c r="G165" t="s">
        <v>581</v>
      </c>
      <c r="H165" t="s">
        <v>534</v>
      </c>
      <c r="I165">
        <v>9</v>
      </c>
      <c r="J165">
        <v>53</v>
      </c>
    </row>
    <row r="166" spans="1:11" x14ac:dyDescent="0.25">
      <c r="A166" t="s">
        <v>345</v>
      </c>
      <c r="B166" t="s">
        <v>934</v>
      </c>
      <c r="C166" t="s">
        <v>346</v>
      </c>
      <c r="D166">
        <v>807</v>
      </c>
      <c r="E166" t="s">
        <v>935</v>
      </c>
      <c r="F166" t="s">
        <v>539</v>
      </c>
      <c r="G166" t="s">
        <v>543</v>
      </c>
      <c r="H166" t="s">
        <v>534</v>
      </c>
      <c r="I166">
        <v>150</v>
      </c>
      <c r="J166">
        <v>39</v>
      </c>
    </row>
    <row r="167" spans="1:11" x14ac:dyDescent="0.25">
      <c r="A167" t="s">
        <v>347</v>
      </c>
      <c r="B167" t="s">
        <v>936</v>
      </c>
      <c r="C167" t="s">
        <v>348</v>
      </c>
      <c r="D167">
        <v>580</v>
      </c>
      <c r="E167" t="s">
        <v>937</v>
      </c>
      <c r="F167" t="s">
        <v>550</v>
      </c>
      <c r="G167" t="s">
        <v>765</v>
      </c>
      <c r="H167" t="s">
        <v>534</v>
      </c>
      <c r="I167">
        <v>9</v>
      </c>
      <c r="J167">
        <v>57</v>
      </c>
    </row>
    <row r="168" spans="1:11" x14ac:dyDescent="0.25">
      <c r="A168" t="s">
        <v>349</v>
      </c>
      <c r="B168" t="s">
        <v>938</v>
      </c>
      <c r="C168" t="s">
        <v>350</v>
      </c>
      <c r="D168">
        <v>578</v>
      </c>
      <c r="E168" t="s">
        <v>939</v>
      </c>
      <c r="F168" t="s">
        <v>539</v>
      </c>
      <c r="G168" t="s">
        <v>540</v>
      </c>
      <c r="H168" t="s">
        <v>534</v>
      </c>
      <c r="I168">
        <v>150</v>
      </c>
      <c r="J168">
        <v>154</v>
      </c>
    </row>
    <row r="169" spans="1:11" x14ac:dyDescent="0.25">
      <c r="A169" t="s">
        <v>351</v>
      </c>
      <c r="B169" t="s">
        <v>940</v>
      </c>
      <c r="C169" t="s">
        <v>352</v>
      </c>
      <c r="D169">
        <v>512</v>
      </c>
      <c r="E169" t="s">
        <v>941</v>
      </c>
      <c r="F169" t="s">
        <v>532</v>
      </c>
      <c r="G169" t="s">
        <v>576</v>
      </c>
      <c r="H169" t="s">
        <v>534</v>
      </c>
      <c r="I169">
        <v>142</v>
      </c>
      <c r="J169">
        <v>145</v>
      </c>
    </row>
    <row r="170" spans="1:11" x14ac:dyDescent="0.25">
      <c r="A170" t="s">
        <v>353</v>
      </c>
      <c r="B170" t="s">
        <v>942</v>
      </c>
      <c r="C170" t="s">
        <v>354</v>
      </c>
      <c r="D170">
        <v>586</v>
      </c>
      <c r="E170" t="s">
        <v>943</v>
      </c>
      <c r="F170" t="s">
        <v>532</v>
      </c>
      <c r="G170" t="s">
        <v>533</v>
      </c>
      <c r="H170" t="s">
        <v>534</v>
      </c>
      <c r="I170">
        <v>142</v>
      </c>
      <c r="J170">
        <v>34</v>
      </c>
    </row>
    <row r="171" spans="1:11" x14ac:dyDescent="0.25">
      <c r="A171" t="s">
        <v>355</v>
      </c>
      <c r="B171" t="s">
        <v>944</v>
      </c>
      <c r="C171" t="s">
        <v>356</v>
      </c>
      <c r="D171">
        <v>585</v>
      </c>
      <c r="E171" t="s">
        <v>945</v>
      </c>
      <c r="F171" t="s">
        <v>550</v>
      </c>
      <c r="G171" t="s">
        <v>765</v>
      </c>
      <c r="H171" t="s">
        <v>534</v>
      </c>
      <c r="I171">
        <v>9</v>
      </c>
      <c r="J171">
        <v>57</v>
      </c>
    </row>
    <row r="172" spans="1:11" x14ac:dyDescent="0.25">
      <c r="A172" t="s">
        <v>946</v>
      </c>
      <c r="B172" t="s">
        <v>947</v>
      </c>
      <c r="C172" t="s">
        <v>482</v>
      </c>
      <c r="D172">
        <v>275</v>
      </c>
      <c r="E172" t="s">
        <v>948</v>
      </c>
      <c r="F172" t="s">
        <v>532</v>
      </c>
      <c r="G172" t="s">
        <v>576</v>
      </c>
      <c r="H172" t="s">
        <v>534</v>
      </c>
      <c r="I172">
        <v>142</v>
      </c>
      <c r="J172">
        <v>145</v>
      </c>
    </row>
    <row r="173" spans="1:11" x14ac:dyDescent="0.25">
      <c r="A173" t="s">
        <v>357</v>
      </c>
      <c r="B173" t="s">
        <v>949</v>
      </c>
      <c r="C173" t="s">
        <v>358</v>
      </c>
      <c r="D173">
        <v>591</v>
      </c>
      <c r="E173" t="s">
        <v>950</v>
      </c>
      <c r="F173" t="s">
        <v>562</v>
      </c>
      <c r="G173" t="s">
        <v>563</v>
      </c>
      <c r="H173" t="s">
        <v>602</v>
      </c>
      <c r="I173">
        <v>19</v>
      </c>
      <c r="J173">
        <v>419</v>
      </c>
      <c r="K173">
        <v>13</v>
      </c>
    </row>
    <row r="174" spans="1:11" x14ac:dyDescent="0.25">
      <c r="A174" t="s">
        <v>359</v>
      </c>
      <c r="B174" t="s">
        <v>951</v>
      </c>
      <c r="C174" t="s">
        <v>360</v>
      </c>
      <c r="D174">
        <v>598</v>
      </c>
      <c r="E174" t="s">
        <v>952</v>
      </c>
      <c r="F174" t="s">
        <v>550</v>
      </c>
      <c r="G174" t="s">
        <v>726</v>
      </c>
      <c r="H174" t="s">
        <v>534</v>
      </c>
      <c r="I174">
        <v>9</v>
      </c>
      <c r="J174">
        <v>54</v>
      </c>
    </row>
    <row r="175" spans="1:11" x14ac:dyDescent="0.25">
      <c r="A175" t="s">
        <v>361</v>
      </c>
      <c r="B175" t="s">
        <v>953</v>
      </c>
      <c r="C175" t="s">
        <v>362</v>
      </c>
      <c r="D175">
        <v>600</v>
      </c>
      <c r="E175" t="s">
        <v>954</v>
      </c>
      <c r="F175" t="s">
        <v>562</v>
      </c>
      <c r="G175" t="s">
        <v>563</v>
      </c>
      <c r="H175" t="s">
        <v>573</v>
      </c>
      <c r="I175">
        <v>19</v>
      </c>
      <c r="J175">
        <v>419</v>
      </c>
      <c r="K175">
        <v>5</v>
      </c>
    </row>
    <row r="176" spans="1:11" x14ac:dyDescent="0.25">
      <c r="A176" t="s">
        <v>363</v>
      </c>
      <c r="B176" t="s">
        <v>955</v>
      </c>
      <c r="C176" t="s">
        <v>364</v>
      </c>
      <c r="D176">
        <v>604</v>
      </c>
      <c r="E176" t="s">
        <v>956</v>
      </c>
      <c r="F176" t="s">
        <v>562</v>
      </c>
      <c r="G176" t="s">
        <v>563</v>
      </c>
      <c r="H176" t="s">
        <v>573</v>
      </c>
      <c r="I176">
        <v>19</v>
      </c>
      <c r="J176">
        <v>419</v>
      </c>
      <c r="K176">
        <v>5</v>
      </c>
    </row>
    <row r="177" spans="1:11" x14ac:dyDescent="0.25">
      <c r="A177" t="s">
        <v>365</v>
      </c>
      <c r="B177" t="s">
        <v>957</v>
      </c>
      <c r="C177" t="s">
        <v>366</v>
      </c>
      <c r="D177">
        <v>608</v>
      </c>
      <c r="E177" t="s">
        <v>958</v>
      </c>
      <c r="F177" t="s">
        <v>532</v>
      </c>
      <c r="G177" t="s">
        <v>634</v>
      </c>
      <c r="H177" t="s">
        <v>534</v>
      </c>
      <c r="I177">
        <v>142</v>
      </c>
      <c r="J177">
        <v>35</v>
      </c>
    </row>
    <row r="178" spans="1:11" x14ac:dyDescent="0.25">
      <c r="A178" t="s">
        <v>959</v>
      </c>
      <c r="B178" t="s">
        <v>960</v>
      </c>
      <c r="C178" t="s">
        <v>961</v>
      </c>
      <c r="D178">
        <v>612</v>
      </c>
      <c r="E178" t="s">
        <v>962</v>
      </c>
      <c r="F178" t="s">
        <v>550</v>
      </c>
      <c r="G178" t="s">
        <v>551</v>
      </c>
      <c r="H178" t="s">
        <v>534</v>
      </c>
      <c r="I178">
        <v>9</v>
      </c>
      <c r="J178">
        <v>61</v>
      </c>
    </row>
    <row r="179" spans="1:11" x14ac:dyDescent="0.25">
      <c r="A179" t="s">
        <v>367</v>
      </c>
      <c r="B179" t="s">
        <v>963</v>
      </c>
      <c r="C179" t="s">
        <v>368</v>
      </c>
      <c r="D179">
        <v>616</v>
      </c>
      <c r="E179" t="s">
        <v>964</v>
      </c>
      <c r="F179" t="s">
        <v>539</v>
      </c>
      <c r="G179" t="s">
        <v>597</v>
      </c>
      <c r="H179" t="s">
        <v>534</v>
      </c>
      <c r="I179">
        <v>150</v>
      </c>
      <c r="J179">
        <v>151</v>
      </c>
    </row>
    <row r="180" spans="1:11" x14ac:dyDescent="0.25">
      <c r="A180" t="s">
        <v>369</v>
      </c>
      <c r="B180" t="s">
        <v>965</v>
      </c>
      <c r="C180" t="s">
        <v>370</v>
      </c>
      <c r="D180">
        <v>620</v>
      </c>
      <c r="E180" t="s">
        <v>966</v>
      </c>
      <c r="F180" t="s">
        <v>539</v>
      </c>
      <c r="G180" t="s">
        <v>543</v>
      </c>
      <c r="H180" t="s">
        <v>534</v>
      </c>
      <c r="I180">
        <v>150</v>
      </c>
      <c r="J180">
        <v>39</v>
      </c>
    </row>
    <row r="181" spans="1:11" x14ac:dyDescent="0.25">
      <c r="A181" t="s">
        <v>507</v>
      </c>
      <c r="B181" t="s">
        <v>967</v>
      </c>
      <c r="C181" t="s">
        <v>372</v>
      </c>
      <c r="D181">
        <v>630</v>
      </c>
      <c r="E181" t="s">
        <v>968</v>
      </c>
      <c r="F181" t="s">
        <v>562</v>
      </c>
      <c r="G181" t="s">
        <v>563</v>
      </c>
      <c r="H181" t="s">
        <v>564</v>
      </c>
      <c r="I181">
        <v>19</v>
      </c>
      <c r="J181">
        <v>419</v>
      </c>
      <c r="K181">
        <v>29</v>
      </c>
    </row>
    <row r="182" spans="1:11" x14ac:dyDescent="0.25">
      <c r="A182" t="s">
        <v>373</v>
      </c>
      <c r="B182" t="s">
        <v>969</v>
      </c>
      <c r="C182" t="s">
        <v>374</v>
      </c>
      <c r="D182">
        <v>634</v>
      </c>
      <c r="E182" t="s">
        <v>970</v>
      </c>
      <c r="F182" t="s">
        <v>532</v>
      </c>
      <c r="G182" t="s">
        <v>576</v>
      </c>
      <c r="H182" t="s">
        <v>534</v>
      </c>
      <c r="I182">
        <v>142</v>
      </c>
      <c r="J182">
        <v>145</v>
      </c>
    </row>
    <row r="183" spans="1:11" x14ac:dyDescent="0.25">
      <c r="A183" t="s">
        <v>971</v>
      </c>
      <c r="B183" t="s">
        <v>972</v>
      </c>
      <c r="C183" t="s">
        <v>973</v>
      </c>
      <c r="D183">
        <v>638</v>
      </c>
      <c r="E183" t="s">
        <v>974</v>
      </c>
      <c r="F183" t="s">
        <v>546</v>
      </c>
      <c r="G183" t="s">
        <v>556</v>
      </c>
      <c r="H183" t="s">
        <v>631</v>
      </c>
      <c r="I183">
        <v>2</v>
      </c>
      <c r="J183">
        <v>202</v>
      </c>
      <c r="K183">
        <v>14</v>
      </c>
    </row>
    <row r="184" spans="1:11" x14ac:dyDescent="0.25">
      <c r="A184" t="s">
        <v>375</v>
      </c>
      <c r="B184" t="s">
        <v>975</v>
      </c>
      <c r="C184" t="s">
        <v>376</v>
      </c>
      <c r="D184">
        <v>642</v>
      </c>
      <c r="E184" t="s">
        <v>976</v>
      </c>
      <c r="F184" t="s">
        <v>539</v>
      </c>
      <c r="G184" t="s">
        <v>597</v>
      </c>
      <c r="H184" t="s">
        <v>534</v>
      </c>
      <c r="I184">
        <v>150</v>
      </c>
      <c r="J184">
        <v>151</v>
      </c>
    </row>
    <row r="185" spans="1:11" x14ac:dyDescent="0.25">
      <c r="A185" t="s">
        <v>377</v>
      </c>
      <c r="B185" t="s">
        <v>977</v>
      </c>
      <c r="C185" t="s">
        <v>378</v>
      </c>
      <c r="D185">
        <v>643</v>
      </c>
      <c r="E185" t="s">
        <v>978</v>
      </c>
      <c r="F185" t="s">
        <v>539</v>
      </c>
      <c r="G185" t="s">
        <v>597</v>
      </c>
      <c r="H185" t="s">
        <v>534</v>
      </c>
      <c r="I185">
        <v>150</v>
      </c>
      <c r="J185">
        <v>151</v>
      </c>
    </row>
    <row r="186" spans="1:11" x14ac:dyDescent="0.25">
      <c r="A186" t="s">
        <v>379</v>
      </c>
      <c r="B186" t="s">
        <v>979</v>
      </c>
      <c r="C186" t="s">
        <v>380</v>
      </c>
      <c r="D186">
        <v>646</v>
      </c>
      <c r="E186" t="s">
        <v>980</v>
      </c>
      <c r="F186" t="s">
        <v>546</v>
      </c>
      <c r="G186" t="s">
        <v>556</v>
      </c>
      <c r="H186" t="s">
        <v>631</v>
      </c>
      <c r="I186">
        <v>2</v>
      </c>
      <c r="J186">
        <v>202</v>
      </c>
      <c r="K186">
        <v>14</v>
      </c>
    </row>
    <row r="187" spans="1:11" x14ac:dyDescent="0.25">
      <c r="A187" t="s">
        <v>981</v>
      </c>
      <c r="B187" t="s">
        <v>982</v>
      </c>
      <c r="C187" t="s">
        <v>983</v>
      </c>
      <c r="D187">
        <v>652</v>
      </c>
      <c r="E187" t="s">
        <v>984</v>
      </c>
      <c r="F187" t="s">
        <v>562</v>
      </c>
      <c r="G187" t="s">
        <v>563</v>
      </c>
      <c r="H187" t="s">
        <v>564</v>
      </c>
      <c r="I187">
        <v>19</v>
      </c>
      <c r="J187">
        <v>419</v>
      </c>
      <c r="K187">
        <v>29</v>
      </c>
    </row>
    <row r="188" spans="1:11" x14ac:dyDescent="0.25">
      <c r="A188" t="s">
        <v>985</v>
      </c>
      <c r="B188" t="s">
        <v>986</v>
      </c>
      <c r="C188" t="s">
        <v>987</v>
      </c>
      <c r="D188">
        <v>654</v>
      </c>
      <c r="E188" t="s">
        <v>988</v>
      </c>
      <c r="F188" t="s">
        <v>546</v>
      </c>
      <c r="G188" t="s">
        <v>556</v>
      </c>
      <c r="H188" t="s">
        <v>605</v>
      </c>
      <c r="I188">
        <v>2</v>
      </c>
      <c r="J188">
        <v>202</v>
      </c>
      <c r="K188">
        <v>11</v>
      </c>
    </row>
    <row r="189" spans="1:11" x14ac:dyDescent="0.25">
      <c r="A189" t="s">
        <v>508</v>
      </c>
      <c r="B189" t="s">
        <v>989</v>
      </c>
      <c r="C189" t="s">
        <v>418</v>
      </c>
      <c r="D189">
        <v>659</v>
      </c>
      <c r="E189" t="s">
        <v>990</v>
      </c>
      <c r="F189" t="s">
        <v>562</v>
      </c>
      <c r="G189" t="s">
        <v>563</v>
      </c>
      <c r="H189" t="s">
        <v>564</v>
      </c>
      <c r="I189">
        <v>19</v>
      </c>
      <c r="J189">
        <v>419</v>
      </c>
      <c r="K189">
        <v>29</v>
      </c>
    </row>
    <row r="190" spans="1:11" x14ac:dyDescent="0.25">
      <c r="A190" t="s">
        <v>509</v>
      </c>
      <c r="B190" t="s">
        <v>991</v>
      </c>
      <c r="C190" t="s">
        <v>420</v>
      </c>
      <c r="D190">
        <v>662</v>
      </c>
      <c r="E190" t="s">
        <v>992</v>
      </c>
      <c r="F190" t="s">
        <v>562</v>
      </c>
      <c r="G190" t="s">
        <v>563</v>
      </c>
      <c r="H190" t="s">
        <v>564</v>
      </c>
      <c r="I190">
        <v>19</v>
      </c>
      <c r="J190">
        <v>419</v>
      </c>
      <c r="K190">
        <v>29</v>
      </c>
    </row>
    <row r="191" spans="1:11" x14ac:dyDescent="0.25">
      <c r="A191" t="s">
        <v>510</v>
      </c>
      <c r="B191" t="s">
        <v>993</v>
      </c>
      <c r="C191" t="s">
        <v>422</v>
      </c>
      <c r="D191">
        <v>663</v>
      </c>
      <c r="E191" t="s">
        <v>994</v>
      </c>
      <c r="F191" t="s">
        <v>562</v>
      </c>
      <c r="G191" t="s">
        <v>563</v>
      </c>
      <c r="H191" t="s">
        <v>564</v>
      </c>
      <c r="I191">
        <v>19</v>
      </c>
      <c r="J191">
        <v>419</v>
      </c>
      <c r="K191">
        <v>29</v>
      </c>
    </row>
    <row r="192" spans="1:11" x14ac:dyDescent="0.25">
      <c r="A192" t="s">
        <v>995</v>
      </c>
      <c r="B192" t="s">
        <v>996</v>
      </c>
      <c r="C192" t="s">
        <v>997</v>
      </c>
      <c r="D192">
        <v>666</v>
      </c>
      <c r="E192" t="s">
        <v>998</v>
      </c>
      <c r="F192" t="s">
        <v>562</v>
      </c>
      <c r="G192" t="s">
        <v>608</v>
      </c>
      <c r="H192" t="s">
        <v>534</v>
      </c>
      <c r="I192">
        <v>19</v>
      </c>
      <c r="J192">
        <v>21</v>
      </c>
    </row>
    <row r="193" spans="1:11" x14ac:dyDescent="0.25">
      <c r="A193" t="s">
        <v>511</v>
      </c>
      <c r="B193" t="s">
        <v>999</v>
      </c>
      <c r="C193" t="s">
        <v>424</v>
      </c>
      <c r="D193">
        <v>670</v>
      </c>
      <c r="E193" t="s">
        <v>1000</v>
      </c>
      <c r="F193" t="s">
        <v>562</v>
      </c>
      <c r="G193" t="s">
        <v>563</v>
      </c>
      <c r="H193" t="s">
        <v>564</v>
      </c>
      <c r="I193">
        <v>19</v>
      </c>
      <c r="J193">
        <v>419</v>
      </c>
      <c r="K193">
        <v>29</v>
      </c>
    </row>
    <row r="194" spans="1:11" x14ac:dyDescent="0.25">
      <c r="A194" t="s">
        <v>381</v>
      </c>
      <c r="B194" t="s">
        <v>1001</v>
      </c>
      <c r="C194" t="s">
        <v>382</v>
      </c>
      <c r="D194">
        <v>882</v>
      </c>
      <c r="E194" t="s">
        <v>1002</v>
      </c>
      <c r="F194" t="s">
        <v>550</v>
      </c>
      <c r="G194" t="s">
        <v>551</v>
      </c>
      <c r="H194" t="s">
        <v>534</v>
      </c>
      <c r="I194">
        <v>9</v>
      </c>
      <c r="J194">
        <v>61</v>
      </c>
    </row>
    <row r="195" spans="1:11" x14ac:dyDescent="0.25">
      <c r="A195" t="s">
        <v>383</v>
      </c>
      <c r="B195" t="s">
        <v>1003</v>
      </c>
      <c r="C195" t="s">
        <v>384</v>
      </c>
      <c r="D195">
        <v>674</v>
      </c>
      <c r="E195" t="s">
        <v>1004</v>
      </c>
      <c r="F195" t="s">
        <v>539</v>
      </c>
      <c r="G195" t="s">
        <v>543</v>
      </c>
      <c r="H195" t="s">
        <v>534</v>
      </c>
      <c r="I195">
        <v>150</v>
      </c>
      <c r="J195">
        <v>39</v>
      </c>
    </row>
    <row r="196" spans="1:11" x14ac:dyDescent="0.25">
      <c r="A196" t="s">
        <v>385</v>
      </c>
      <c r="B196" t="s">
        <v>1005</v>
      </c>
      <c r="C196" t="s">
        <v>386</v>
      </c>
      <c r="D196">
        <v>678</v>
      </c>
      <c r="E196" t="s">
        <v>1006</v>
      </c>
      <c r="F196" t="s">
        <v>546</v>
      </c>
      <c r="G196" t="s">
        <v>556</v>
      </c>
      <c r="H196" t="s">
        <v>557</v>
      </c>
      <c r="I196">
        <v>2</v>
      </c>
      <c r="J196">
        <v>202</v>
      </c>
      <c r="K196">
        <v>17</v>
      </c>
    </row>
    <row r="197" spans="1:11" x14ac:dyDescent="0.25">
      <c r="A197" t="s">
        <v>387</v>
      </c>
      <c r="B197" t="s">
        <v>1007</v>
      </c>
      <c r="C197" t="s">
        <v>388</v>
      </c>
      <c r="D197">
        <v>682</v>
      </c>
      <c r="E197" t="s">
        <v>1008</v>
      </c>
      <c r="F197" t="s">
        <v>532</v>
      </c>
      <c r="G197" t="s">
        <v>576</v>
      </c>
      <c r="H197" t="s">
        <v>534</v>
      </c>
      <c r="I197">
        <v>142</v>
      </c>
      <c r="J197">
        <v>145</v>
      </c>
    </row>
    <row r="198" spans="1:11" x14ac:dyDescent="0.25">
      <c r="A198" t="s">
        <v>389</v>
      </c>
      <c r="B198" t="s">
        <v>1009</v>
      </c>
      <c r="C198" t="s">
        <v>390</v>
      </c>
      <c r="D198">
        <v>686</v>
      </c>
      <c r="E198" t="s">
        <v>1010</v>
      </c>
      <c r="F198" t="s">
        <v>546</v>
      </c>
      <c r="G198" t="s">
        <v>556</v>
      </c>
      <c r="H198" t="s">
        <v>605</v>
      </c>
      <c r="I198">
        <v>2</v>
      </c>
      <c r="J198">
        <v>202</v>
      </c>
      <c r="K198">
        <v>11</v>
      </c>
    </row>
    <row r="199" spans="1:11" x14ac:dyDescent="0.25">
      <c r="A199" t="s">
        <v>391</v>
      </c>
      <c r="B199" t="s">
        <v>1011</v>
      </c>
      <c r="C199" t="s">
        <v>392</v>
      </c>
      <c r="D199">
        <v>688</v>
      </c>
      <c r="E199" t="s">
        <v>1012</v>
      </c>
      <c r="F199" t="s">
        <v>539</v>
      </c>
      <c r="G199" t="s">
        <v>543</v>
      </c>
      <c r="H199" t="s">
        <v>534</v>
      </c>
      <c r="I199">
        <v>150</v>
      </c>
      <c r="J199">
        <v>39</v>
      </c>
    </row>
    <row r="200" spans="1:11" x14ac:dyDescent="0.25">
      <c r="A200" t="s">
        <v>393</v>
      </c>
      <c r="B200" t="s">
        <v>1013</v>
      </c>
      <c r="C200" t="s">
        <v>394</v>
      </c>
      <c r="D200">
        <v>690</v>
      </c>
      <c r="E200" t="s">
        <v>1014</v>
      </c>
      <c r="F200" t="s">
        <v>546</v>
      </c>
      <c r="G200" t="s">
        <v>556</v>
      </c>
      <c r="H200" t="s">
        <v>631</v>
      </c>
      <c r="I200">
        <v>2</v>
      </c>
      <c r="J200">
        <v>202</v>
      </c>
      <c r="K200">
        <v>14</v>
      </c>
    </row>
    <row r="201" spans="1:11" x14ac:dyDescent="0.25">
      <c r="A201" t="s">
        <v>395</v>
      </c>
      <c r="B201" t="s">
        <v>1015</v>
      </c>
      <c r="C201" t="s">
        <v>396</v>
      </c>
      <c r="D201">
        <v>694</v>
      </c>
      <c r="E201" t="s">
        <v>1016</v>
      </c>
      <c r="F201" t="s">
        <v>546</v>
      </c>
      <c r="G201" t="s">
        <v>556</v>
      </c>
      <c r="H201" t="s">
        <v>605</v>
      </c>
      <c r="I201">
        <v>2</v>
      </c>
      <c r="J201">
        <v>202</v>
      </c>
      <c r="K201">
        <v>11</v>
      </c>
    </row>
    <row r="202" spans="1:11" x14ac:dyDescent="0.25">
      <c r="A202" t="s">
        <v>397</v>
      </c>
      <c r="B202" t="s">
        <v>1017</v>
      </c>
      <c r="C202" t="s">
        <v>398</v>
      </c>
      <c r="D202">
        <v>702</v>
      </c>
      <c r="E202" t="s">
        <v>1018</v>
      </c>
      <c r="F202" t="s">
        <v>532</v>
      </c>
      <c r="G202" t="s">
        <v>634</v>
      </c>
      <c r="H202" t="s">
        <v>534</v>
      </c>
      <c r="I202">
        <v>142</v>
      </c>
      <c r="J202">
        <v>35</v>
      </c>
    </row>
    <row r="203" spans="1:11" x14ac:dyDescent="0.25">
      <c r="A203" t="s">
        <v>399</v>
      </c>
      <c r="B203" t="s">
        <v>1019</v>
      </c>
      <c r="C203" t="s">
        <v>400</v>
      </c>
      <c r="D203">
        <v>534</v>
      </c>
      <c r="E203" t="s">
        <v>1020</v>
      </c>
      <c r="F203" t="s">
        <v>562</v>
      </c>
      <c r="G203" t="s">
        <v>563</v>
      </c>
      <c r="H203" t="s">
        <v>564</v>
      </c>
      <c r="I203">
        <v>19</v>
      </c>
      <c r="J203">
        <v>419</v>
      </c>
      <c r="K203">
        <v>29</v>
      </c>
    </row>
    <row r="204" spans="1:11" x14ac:dyDescent="0.25">
      <c r="A204" t="s">
        <v>1021</v>
      </c>
      <c r="B204" t="s">
        <v>1022</v>
      </c>
      <c r="C204" t="s">
        <v>402</v>
      </c>
      <c r="D204">
        <v>703</v>
      </c>
      <c r="E204" t="s">
        <v>1023</v>
      </c>
      <c r="F204" t="s">
        <v>539</v>
      </c>
      <c r="G204" t="s">
        <v>597</v>
      </c>
      <c r="H204" t="s">
        <v>534</v>
      </c>
      <c r="I204">
        <v>150</v>
      </c>
      <c r="J204">
        <v>151</v>
      </c>
    </row>
    <row r="205" spans="1:11" x14ac:dyDescent="0.25">
      <c r="A205" t="s">
        <v>403</v>
      </c>
      <c r="B205" t="s">
        <v>1024</v>
      </c>
      <c r="C205" t="s">
        <v>404</v>
      </c>
      <c r="D205">
        <v>705</v>
      </c>
      <c r="E205" t="s">
        <v>1025</v>
      </c>
      <c r="F205" t="s">
        <v>539</v>
      </c>
      <c r="G205" t="s">
        <v>543</v>
      </c>
      <c r="H205" t="s">
        <v>534</v>
      </c>
      <c r="I205">
        <v>150</v>
      </c>
      <c r="J205">
        <v>39</v>
      </c>
    </row>
    <row r="206" spans="1:11" x14ac:dyDescent="0.25">
      <c r="A206" t="s">
        <v>405</v>
      </c>
      <c r="B206" t="s">
        <v>1026</v>
      </c>
      <c r="C206" t="s">
        <v>406</v>
      </c>
      <c r="D206">
        <v>90</v>
      </c>
      <c r="E206" t="s">
        <v>1027</v>
      </c>
      <c r="F206" t="s">
        <v>550</v>
      </c>
      <c r="G206" t="s">
        <v>726</v>
      </c>
      <c r="H206" t="s">
        <v>534</v>
      </c>
      <c r="I206">
        <v>9</v>
      </c>
      <c r="J206">
        <v>54</v>
      </c>
    </row>
    <row r="207" spans="1:11" x14ac:dyDescent="0.25">
      <c r="A207" t="s">
        <v>1028</v>
      </c>
      <c r="B207" t="s">
        <v>1029</v>
      </c>
      <c r="C207" t="s">
        <v>408</v>
      </c>
      <c r="D207">
        <v>706</v>
      </c>
      <c r="E207" t="s">
        <v>1030</v>
      </c>
      <c r="F207" t="s">
        <v>546</v>
      </c>
      <c r="G207" t="s">
        <v>556</v>
      </c>
      <c r="H207" t="s">
        <v>631</v>
      </c>
      <c r="I207">
        <v>2</v>
      </c>
      <c r="J207">
        <v>202</v>
      </c>
      <c r="K207">
        <v>14</v>
      </c>
    </row>
    <row r="208" spans="1:11" x14ac:dyDescent="0.25">
      <c r="A208" t="s">
        <v>409</v>
      </c>
      <c r="B208" t="s">
        <v>1031</v>
      </c>
      <c r="C208" t="s">
        <v>410</v>
      </c>
      <c r="D208">
        <v>710</v>
      </c>
      <c r="E208" t="s">
        <v>1032</v>
      </c>
      <c r="F208" t="s">
        <v>546</v>
      </c>
      <c r="G208" t="s">
        <v>556</v>
      </c>
      <c r="H208" t="s">
        <v>620</v>
      </c>
      <c r="I208">
        <v>2</v>
      </c>
      <c r="J208">
        <v>202</v>
      </c>
      <c r="K208">
        <v>18</v>
      </c>
    </row>
    <row r="209" spans="1:11" x14ac:dyDescent="0.25">
      <c r="A209" t="s">
        <v>1033</v>
      </c>
      <c r="B209" t="s">
        <v>1034</v>
      </c>
      <c r="C209" t="s">
        <v>1035</v>
      </c>
      <c r="D209">
        <v>239</v>
      </c>
      <c r="E209" t="s">
        <v>1036</v>
      </c>
      <c r="F209" t="s">
        <v>562</v>
      </c>
      <c r="G209" t="s">
        <v>563</v>
      </c>
      <c r="H209" t="s">
        <v>573</v>
      </c>
      <c r="I209">
        <v>19</v>
      </c>
      <c r="J209">
        <v>419</v>
      </c>
      <c r="K209">
        <v>5</v>
      </c>
    </row>
    <row r="210" spans="1:11" x14ac:dyDescent="0.25">
      <c r="A210" t="s">
        <v>411</v>
      </c>
      <c r="B210" t="s">
        <v>1037</v>
      </c>
      <c r="C210" t="s">
        <v>412</v>
      </c>
      <c r="D210">
        <v>728</v>
      </c>
      <c r="E210" t="s">
        <v>1038</v>
      </c>
      <c r="F210" t="s">
        <v>546</v>
      </c>
      <c r="G210" t="s">
        <v>556</v>
      </c>
      <c r="H210" t="s">
        <v>631</v>
      </c>
      <c r="I210">
        <v>2</v>
      </c>
      <c r="J210">
        <v>202</v>
      </c>
      <c r="K210">
        <v>14</v>
      </c>
    </row>
    <row r="211" spans="1:11" x14ac:dyDescent="0.25">
      <c r="A211" t="s">
        <v>413</v>
      </c>
      <c r="B211" t="s">
        <v>1039</v>
      </c>
      <c r="C211" t="s">
        <v>414</v>
      </c>
      <c r="D211">
        <v>724</v>
      </c>
      <c r="E211" t="s">
        <v>1040</v>
      </c>
      <c r="F211" t="s">
        <v>539</v>
      </c>
      <c r="G211" t="s">
        <v>543</v>
      </c>
      <c r="H211" t="s">
        <v>534</v>
      </c>
      <c r="I211">
        <v>150</v>
      </c>
      <c r="J211">
        <v>39</v>
      </c>
    </row>
    <row r="212" spans="1:11" x14ac:dyDescent="0.25">
      <c r="A212" t="s">
        <v>415</v>
      </c>
      <c r="B212" t="s">
        <v>1041</v>
      </c>
      <c r="C212" t="s">
        <v>416</v>
      </c>
      <c r="D212">
        <v>144</v>
      </c>
      <c r="E212" t="s">
        <v>1042</v>
      </c>
      <c r="F212" t="s">
        <v>532</v>
      </c>
      <c r="G212" t="s">
        <v>533</v>
      </c>
      <c r="H212" t="s">
        <v>534</v>
      </c>
      <c r="I212">
        <v>142</v>
      </c>
      <c r="J212">
        <v>34</v>
      </c>
    </row>
    <row r="213" spans="1:11" x14ac:dyDescent="0.25">
      <c r="A213" t="s">
        <v>425</v>
      </c>
      <c r="B213" t="s">
        <v>1043</v>
      </c>
      <c r="C213" t="s">
        <v>426</v>
      </c>
      <c r="D213">
        <v>729</v>
      </c>
      <c r="E213" t="s">
        <v>1044</v>
      </c>
      <c r="F213" t="s">
        <v>546</v>
      </c>
      <c r="G213" t="s">
        <v>547</v>
      </c>
      <c r="H213" t="s">
        <v>534</v>
      </c>
      <c r="I213">
        <v>2</v>
      </c>
      <c r="J213">
        <v>15</v>
      </c>
    </row>
    <row r="214" spans="1:11" x14ac:dyDescent="0.25">
      <c r="A214" t="s">
        <v>427</v>
      </c>
      <c r="B214" t="s">
        <v>1045</v>
      </c>
      <c r="C214" t="s">
        <v>428</v>
      </c>
      <c r="D214">
        <v>740</v>
      </c>
      <c r="E214" t="s">
        <v>1046</v>
      </c>
      <c r="F214" t="s">
        <v>562</v>
      </c>
      <c r="G214" t="s">
        <v>563</v>
      </c>
      <c r="H214" t="s">
        <v>573</v>
      </c>
      <c r="I214">
        <v>19</v>
      </c>
      <c r="J214">
        <v>419</v>
      </c>
      <c r="K214">
        <v>5</v>
      </c>
    </row>
    <row r="215" spans="1:11" x14ac:dyDescent="0.25">
      <c r="A215" t="s">
        <v>1047</v>
      </c>
      <c r="B215" t="s">
        <v>1048</v>
      </c>
      <c r="C215" t="s">
        <v>1049</v>
      </c>
      <c r="D215">
        <v>744</v>
      </c>
      <c r="E215" t="s">
        <v>1050</v>
      </c>
      <c r="F215" t="s">
        <v>539</v>
      </c>
      <c r="G215" t="s">
        <v>540</v>
      </c>
      <c r="H215" t="s">
        <v>534</v>
      </c>
      <c r="I215">
        <v>150</v>
      </c>
      <c r="J215">
        <v>154</v>
      </c>
    </row>
    <row r="216" spans="1:11" x14ac:dyDescent="0.25">
      <c r="A216" t="s">
        <v>429</v>
      </c>
      <c r="B216" t="s">
        <v>1051</v>
      </c>
      <c r="C216" t="s">
        <v>430</v>
      </c>
      <c r="D216">
        <v>752</v>
      </c>
      <c r="E216" t="s">
        <v>1052</v>
      </c>
      <c r="F216" t="s">
        <v>539</v>
      </c>
      <c r="G216" t="s">
        <v>540</v>
      </c>
      <c r="H216" t="s">
        <v>534</v>
      </c>
      <c r="I216">
        <v>150</v>
      </c>
      <c r="J216">
        <v>154</v>
      </c>
    </row>
    <row r="217" spans="1:11" x14ac:dyDescent="0.25">
      <c r="A217" t="s">
        <v>431</v>
      </c>
      <c r="B217" t="s">
        <v>1053</v>
      </c>
      <c r="C217" t="s">
        <v>432</v>
      </c>
      <c r="D217">
        <v>756</v>
      </c>
      <c r="E217" t="s">
        <v>1054</v>
      </c>
      <c r="F217" t="s">
        <v>539</v>
      </c>
      <c r="G217" t="s">
        <v>584</v>
      </c>
      <c r="H217" t="s">
        <v>534</v>
      </c>
      <c r="I217">
        <v>150</v>
      </c>
      <c r="J217">
        <v>155</v>
      </c>
    </row>
    <row r="218" spans="1:11" x14ac:dyDescent="0.25">
      <c r="A218" t="s">
        <v>433</v>
      </c>
      <c r="B218" t="s">
        <v>1055</v>
      </c>
      <c r="C218" t="s">
        <v>434</v>
      </c>
      <c r="D218">
        <v>760</v>
      </c>
      <c r="E218" t="s">
        <v>1056</v>
      </c>
      <c r="F218" t="s">
        <v>532</v>
      </c>
      <c r="G218" t="s">
        <v>576</v>
      </c>
      <c r="H218" t="s">
        <v>534</v>
      </c>
      <c r="I218">
        <v>142</v>
      </c>
      <c r="J218">
        <v>145</v>
      </c>
    </row>
    <row r="219" spans="1:11" x14ac:dyDescent="0.25">
      <c r="A219" t="s">
        <v>1057</v>
      </c>
      <c r="B219" t="s">
        <v>1058</v>
      </c>
      <c r="C219" t="s">
        <v>1059</v>
      </c>
      <c r="D219">
        <v>158</v>
      </c>
      <c r="E219" t="s">
        <v>1060</v>
      </c>
      <c r="F219" t="s">
        <v>534</v>
      </c>
      <c r="G219" t="s">
        <v>534</v>
      </c>
      <c r="H219" t="s">
        <v>534</v>
      </c>
    </row>
    <row r="220" spans="1:11" x14ac:dyDescent="0.25">
      <c r="A220" t="s">
        <v>435</v>
      </c>
      <c r="B220" t="s">
        <v>1061</v>
      </c>
      <c r="C220" t="s">
        <v>436</v>
      </c>
      <c r="D220">
        <v>762</v>
      </c>
      <c r="E220" t="s">
        <v>1062</v>
      </c>
      <c r="F220" t="s">
        <v>532</v>
      </c>
      <c r="G220" t="s">
        <v>825</v>
      </c>
      <c r="H220" t="s">
        <v>534</v>
      </c>
      <c r="I220">
        <v>142</v>
      </c>
      <c r="J220">
        <v>143</v>
      </c>
    </row>
    <row r="221" spans="1:11" x14ac:dyDescent="0.25">
      <c r="A221" t="s">
        <v>512</v>
      </c>
      <c r="B221" t="s">
        <v>1063</v>
      </c>
      <c r="C221" t="s">
        <v>438</v>
      </c>
      <c r="D221">
        <v>834</v>
      </c>
      <c r="E221" t="s">
        <v>1064</v>
      </c>
      <c r="F221" t="s">
        <v>546</v>
      </c>
      <c r="G221" t="s">
        <v>556</v>
      </c>
      <c r="H221" t="s">
        <v>631</v>
      </c>
      <c r="I221">
        <v>2</v>
      </c>
      <c r="J221">
        <v>202</v>
      </c>
      <c r="K221">
        <v>14</v>
      </c>
    </row>
    <row r="222" spans="1:11" x14ac:dyDescent="0.25">
      <c r="A222" t="s">
        <v>439</v>
      </c>
      <c r="B222" t="s">
        <v>1065</v>
      </c>
      <c r="C222" t="s">
        <v>440</v>
      </c>
      <c r="D222">
        <v>764</v>
      </c>
      <c r="E222" t="s">
        <v>1066</v>
      </c>
      <c r="F222" t="s">
        <v>532</v>
      </c>
      <c r="G222" t="s">
        <v>634</v>
      </c>
      <c r="H222" t="s">
        <v>534</v>
      </c>
      <c r="I222">
        <v>142</v>
      </c>
      <c r="J222">
        <v>35</v>
      </c>
    </row>
    <row r="223" spans="1:11" x14ac:dyDescent="0.25">
      <c r="A223" t="s">
        <v>441</v>
      </c>
      <c r="B223" t="s">
        <v>1067</v>
      </c>
      <c r="C223" t="s">
        <v>442</v>
      </c>
      <c r="D223">
        <v>626</v>
      </c>
      <c r="E223" t="s">
        <v>1068</v>
      </c>
      <c r="F223" t="s">
        <v>532</v>
      </c>
      <c r="G223" t="s">
        <v>634</v>
      </c>
      <c r="H223" t="s">
        <v>534</v>
      </c>
      <c r="I223">
        <v>142</v>
      </c>
      <c r="J223">
        <v>35</v>
      </c>
    </row>
    <row r="224" spans="1:11" x14ac:dyDescent="0.25">
      <c r="A224" t="s">
        <v>443</v>
      </c>
      <c r="B224" t="s">
        <v>1069</v>
      </c>
      <c r="C224" t="s">
        <v>444</v>
      </c>
      <c r="D224">
        <v>768</v>
      </c>
      <c r="E224" t="s">
        <v>1070</v>
      </c>
      <c r="F224" t="s">
        <v>546</v>
      </c>
      <c r="G224" t="s">
        <v>556</v>
      </c>
      <c r="H224" t="s">
        <v>605</v>
      </c>
      <c r="I224">
        <v>2</v>
      </c>
      <c r="J224">
        <v>202</v>
      </c>
      <c r="K224">
        <v>11</v>
      </c>
    </row>
    <row r="225" spans="1:11" x14ac:dyDescent="0.25">
      <c r="A225" t="s">
        <v>1071</v>
      </c>
      <c r="B225" t="s">
        <v>1072</v>
      </c>
      <c r="C225" t="s">
        <v>1073</v>
      </c>
      <c r="D225">
        <v>772</v>
      </c>
      <c r="E225" t="s">
        <v>1074</v>
      </c>
      <c r="F225" t="s">
        <v>550</v>
      </c>
      <c r="G225" t="s">
        <v>551</v>
      </c>
      <c r="H225" t="s">
        <v>534</v>
      </c>
      <c r="I225">
        <v>9</v>
      </c>
      <c r="J225">
        <v>61</v>
      </c>
    </row>
    <row r="226" spans="1:11" x14ac:dyDescent="0.25">
      <c r="A226" t="s">
        <v>445</v>
      </c>
      <c r="B226" t="s">
        <v>1075</v>
      </c>
      <c r="C226" t="s">
        <v>446</v>
      </c>
      <c r="D226">
        <v>776</v>
      </c>
      <c r="E226" t="s">
        <v>1076</v>
      </c>
      <c r="F226" t="s">
        <v>550</v>
      </c>
      <c r="G226" t="s">
        <v>551</v>
      </c>
      <c r="H226" t="s">
        <v>534</v>
      </c>
      <c r="I226">
        <v>9</v>
      </c>
      <c r="J226">
        <v>61</v>
      </c>
    </row>
    <row r="227" spans="1:11" x14ac:dyDescent="0.25">
      <c r="A227" t="s">
        <v>447</v>
      </c>
      <c r="B227" t="s">
        <v>1077</v>
      </c>
      <c r="C227" t="s">
        <v>448</v>
      </c>
      <c r="D227">
        <v>780</v>
      </c>
      <c r="E227" t="s">
        <v>1078</v>
      </c>
      <c r="F227" t="s">
        <v>562</v>
      </c>
      <c r="G227" t="s">
        <v>563</v>
      </c>
      <c r="H227" t="s">
        <v>564</v>
      </c>
      <c r="I227">
        <v>19</v>
      </c>
      <c r="J227">
        <v>419</v>
      </c>
      <c r="K227">
        <v>29</v>
      </c>
    </row>
    <row r="228" spans="1:11" x14ac:dyDescent="0.25">
      <c r="A228" t="s">
        <v>449</v>
      </c>
      <c r="B228" t="s">
        <v>1079</v>
      </c>
      <c r="C228" t="s">
        <v>450</v>
      </c>
      <c r="D228">
        <v>788</v>
      </c>
      <c r="E228" t="s">
        <v>1080</v>
      </c>
      <c r="F228" t="s">
        <v>546</v>
      </c>
      <c r="G228" t="s">
        <v>547</v>
      </c>
      <c r="H228" t="s">
        <v>534</v>
      </c>
      <c r="I228">
        <v>2</v>
      </c>
      <c r="J228">
        <v>15</v>
      </c>
    </row>
    <row r="229" spans="1:11" x14ac:dyDescent="0.25">
      <c r="A229" t="s">
        <v>513</v>
      </c>
      <c r="B229" t="s">
        <v>1081</v>
      </c>
      <c r="C229" t="s">
        <v>452</v>
      </c>
      <c r="D229">
        <v>792</v>
      </c>
      <c r="E229" t="s">
        <v>1082</v>
      </c>
      <c r="F229" t="s">
        <v>532</v>
      </c>
      <c r="G229" t="s">
        <v>576</v>
      </c>
      <c r="H229" t="s">
        <v>534</v>
      </c>
      <c r="I229">
        <v>142</v>
      </c>
      <c r="J229">
        <v>145</v>
      </c>
    </row>
    <row r="230" spans="1:11" x14ac:dyDescent="0.25">
      <c r="A230" t="s">
        <v>453</v>
      </c>
      <c r="B230" t="s">
        <v>1083</v>
      </c>
      <c r="C230" t="s">
        <v>454</v>
      </c>
      <c r="D230">
        <v>795</v>
      </c>
      <c r="E230" t="s">
        <v>1084</v>
      </c>
      <c r="F230" t="s">
        <v>532</v>
      </c>
      <c r="G230" t="s">
        <v>825</v>
      </c>
      <c r="H230" t="s">
        <v>534</v>
      </c>
      <c r="I230">
        <v>142</v>
      </c>
      <c r="J230">
        <v>143</v>
      </c>
    </row>
    <row r="231" spans="1:11" x14ac:dyDescent="0.25">
      <c r="A231" t="s">
        <v>455</v>
      </c>
      <c r="B231" t="s">
        <v>1085</v>
      </c>
      <c r="C231" t="s">
        <v>456</v>
      </c>
      <c r="D231">
        <v>796</v>
      </c>
      <c r="E231" t="s">
        <v>1086</v>
      </c>
      <c r="F231" t="s">
        <v>562</v>
      </c>
      <c r="G231" t="s">
        <v>563</v>
      </c>
      <c r="H231" t="s">
        <v>564</v>
      </c>
      <c r="I231">
        <v>19</v>
      </c>
      <c r="J231">
        <v>419</v>
      </c>
      <c r="K231">
        <v>29</v>
      </c>
    </row>
    <row r="232" spans="1:11" x14ac:dyDescent="0.25">
      <c r="A232" t="s">
        <v>457</v>
      </c>
      <c r="B232" t="s">
        <v>1087</v>
      </c>
      <c r="C232" t="s">
        <v>458</v>
      </c>
      <c r="D232">
        <v>798</v>
      </c>
      <c r="E232" t="s">
        <v>1088</v>
      </c>
      <c r="F232" t="s">
        <v>550</v>
      </c>
      <c r="G232" t="s">
        <v>551</v>
      </c>
      <c r="H232" t="s">
        <v>534</v>
      </c>
      <c r="I232">
        <v>9</v>
      </c>
      <c r="J232">
        <v>61</v>
      </c>
    </row>
    <row r="233" spans="1:11" x14ac:dyDescent="0.25">
      <c r="A233" t="s">
        <v>459</v>
      </c>
      <c r="B233" t="s">
        <v>1089</v>
      </c>
      <c r="C233" t="s">
        <v>460</v>
      </c>
      <c r="D233">
        <v>800</v>
      </c>
      <c r="E233" t="s">
        <v>1090</v>
      </c>
      <c r="F233" t="s">
        <v>546</v>
      </c>
      <c r="G233" t="s">
        <v>556</v>
      </c>
      <c r="H233" t="s">
        <v>631</v>
      </c>
      <c r="I233">
        <v>2</v>
      </c>
      <c r="J233">
        <v>202</v>
      </c>
      <c r="K233">
        <v>14</v>
      </c>
    </row>
    <row r="234" spans="1:11" x14ac:dyDescent="0.25">
      <c r="A234" t="s">
        <v>461</v>
      </c>
      <c r="B234" t="s">
        <v>1091</v>
      </c>
      <c r="C234" t="s">
        <v>462</v>
      </c>
      <c r="D234">
        <v>804</v>
      </c>
      <c r="E234" t="s">
        <v>1092</v>
      </c>
      <c r="F234" t="s">
        <v>539</v>
      </c>
      <c r="G234" t="s">
        <v>597</v>
      </c>
      <c r="H234" t="s">
        <v>534</v>
      </c>
      <c r="I234">
        <v>150</v>
      </c>
      <c r="J234">
        <v>151</v>
      </c>
    </row>
    <row r="235" spans="1:11" x14ac:dyDescent="0.25">
      <c r="A235" t="s">
        <v>463</v>
      </c>
      <c r="B235" t="s">
        <v>1093</v>
      </c>
      <c r="C235" t="s">
        <v>464</v>
      </c>
      <c r="D235">
        <v>784</v>
      </c>
      <c r="E235" t="s">
        <v>1094</v>
      </c>
      <c r="F235" t="s">
        <v>532</v>
      </c>
      <c r="G235" t="s">
        <v>576</v>
      </c>
      <c r="H235" t="s">
        <v>534</v>
      </c>
      <c r="I235">
        <v>142</v>
      </c>
      <c r="J235">
        <v>145</v>
      </c>
    </row>
    <row r="236" spans="1:11" x14ac:dyDescent="0.25">
      <c r="A236" t="s">
        <v>514</v>
      </c>
      <c r="B236" t="s">
        <v>1095</v>
      </c>
      <c r="C236" t="s">
        <v>466</v>
      </c>
      <c r="D236">
        <v>826</v>
      </c>
      <c r="E236" t="s">
        <v>1096</v>
      </c>
      <c r="F236" t="s">
        <v>539</v>
      </c>
      <c r="G236" t="s">
        <v>540</v>
      </c>
      <c r="H236" t="s">
        <v>534</v>
      </c>
      <c r="I236">
        <v>150</v>
      </c>
      <c r="J236">
        <v>154</v>
      </c>
    </row>
    <row r="237" spans="1:11" x14ac:dyDescent="0.25">
      <c r="A237" t="s">
        <v>515</v>
      </c>
      <c r="B237" t="s">
        <v>1097</v>
      </c>
      <c r="C237" t="s">
        <v>468</v>
      </c>
      <c r="D237">
        <v>840</v>
      </c>
      <c r="E237" t="s">
        <v>1098</v>
      </c>
      <c r="F237" t="s">
        <v>562</v>
      </c>
      <c r="G237" t="s">
        <v>608</v>
      </c>
      <c r="H237" t="s">
        <v>534</v>
      </c>
      <c r="I237">
        <v>19</v>
      </c>
      <c r="J237">
        <v>21</v>
      </c>
    </row>
    <row r="238" spans="1:11" x14ac:dyDescent="0.25">
      <c r="A238" t="s">
        <v>1099</v>
      </c>
      <c r="B238" t="s">
        <v>1100</v>
      </c>
      <c r="C238" t="s">
        <v>1101</v>
      </c>
      <c r="D238">
        <v>581</v>
      </c>
      <c r="E238" t="s">
        <v>1102</v>
      </c>
      <c r="F238" t="s">
        <v>550</v>
      </c>
      <c r="G238" t="s">
        <v>765</v>
      </c>
      <c r="H238" t="s">
        <v>534</v>
      </c>
      <c r="I238">
        <v>9</v>
      </c>
      <c r="J238">
        <v>57</v>
      </c>
    </row>
    <row r="239" spans="1:11" x14ac:dyDescent="0.25">
      <c r="A239" t="s">
        <v>469</v>
      </c>
      <c r="B239" t="s">
        <v>1103</v>
      </c>
      <c r="C239" t="s">
        <v>470</v>
      </c>
      <c r="D239">
        <v>858</v>
      </c>
      <c r="E239" t="s">
        <v>1104</v>
      </c>
      <c r="F239" t="s">
        <v>562</v>
      </c>
      <c r="G239" t="s">
        <v>563</v>
      </c>
      <c r="H239" t="s">
        <v>573</v>
      </c>
      <c r="I239">
        <v>19</v>
      </c>
      <c r="J239">
        <v>419</v>
      </c>
      <c r="K239">
        <v>5</v>
      </c>
    </row>
    <row r="240" spans="1:11" x14ac:dyDescent="0.25">
      <c r="A240" t="s">
        <v>471</v>
      </c>
      <c r="B240" t="s">
        <v>1105</v>
      </c>
      <c r="C240" t="s">
        <v>472</v>
      </c>
      <c r="D240">
        <v>860</v>
      </c>
      <c r="E240" t="s">
        <v>1106</v>
      </c>
      <c r="F240" t="s">
        <v>532</v>
      </c>
      <c r="G240" t="s">
        <v>825</v>
      </c>
      <c r="H240" t="s">
        <v>534</v>
      </c>
      <c r="I240">
        <v>142</v>
      </c>
      <c r="J240">
        <v>143</v>
      </c>
    </row>
    <row r="241" spans="1:11" x14ac:dyDescent="0.25">
      <c r="A241" t="s">
        <v>473</v>
      </c>
      <c r="B241" t="s">
        <v>1107</v>
      </c>
      <c r="C241" t="s">
        <v>474</v>
      </c>
      <c r="D241">
        <v>548</v>
      </c>
      <c r="E241" t="s">
        <v>1108</v>
      </c>
      <c r="F241" t="s">
        <v>550</v>
      </c>
      <c r="G241" t="s">
        <v>726</v>
      </c>
      <c r="H241" t="s">
        <v>534</v>
      </c>
      <c r="I241">
        <v>9</v>
      </c>
      <c r="J241">
        <v>54</v>
      </c>
    </row>
    <row r="242" spans="1:11" x14ac:dyDescent="0.25">
      <c r="A242" t="s">
        <v>516</v>
      </c>
      <c r="B242" t="s">
        <v>1109</v>
      </c>
      <c r="C242" t="s">
        <v>476</v>
      </c>
      <c r="D242">
        <v>862</v>
      </c>
      <c r="E242" t="s">
        <v>1110</v>
      </c>
      <c r="F242" t="s">
        <v>562</v>
      </c>
      <c r="G242" t="s">
        <v>563</v>
      </c>
      <c r="H242" t="s">
        <v>573</v>
      </c>
      <c r="I242">
        <v>19</v>
      </c>
      <c r="J242">
        <v>419</v>
      </c>
      <c r="K242">
        <v>5</v>
      </c>
    </row>
    <row r="243" spans="1:11" x14ac:dyDescent="0.25">
      <c r="A243" t="s">
        <v>477</v>
      </c>
      <c r="B243" t="s">
        <v>1111</v>
      </c>
      <c r="C243" t="s">
        <v>478</v>
      </c>
      <c r="D243">
        <v>704</v>
      </c>
      <c r="E243" t="s">
        <v>1112</v>
      </c>
      <c r="F243" t="s">
        <v>532</v>
      </c>
      <c r="G243" t="s">
        <v>634</v>
      </c>
      <c r="H243" t="s">
        <v>534</v>
      </c>
      <c r="I243">
        <v>142</v>
      </c>
      <c r="J243">
        <v>35</v>
      </c>
    </row>
    <row r="244" spans="1:11" x14ac:dyDescent="0.25">
      <c r="A244" t="s">
        <v>493</v>
      </c>
      <c r="B244" t="s">
        <v>1113</v>
      </c>
      <c r="C244" t="s">
        <v>110</v>
      </c>
      <c r="D244">
        <v>92</v>
      </c>
      <c r="E244" t="s">
        <v>1114</v>
      </c>
      <c r="F244" t="s">
        <v>562</v>
      </c>
      <c r="G244" t="s">
        <v>563</v>
      </c>
      <c r="H244" t="s">
        <v>564</v>
      </c>
      <c r="I244">
        <v>19</v>
      </c>
      <c r="J244">
        <v>419</v>
      </c>
      <c r="K244">
        <v>29</v>
      </c>
    </row>
    <row r="245" spans="1:11" x14ac:dyDescent="0.25">
      <c r="A245" t="s">
        <v>479</v>
      </c>
      <c r="B245" t="s">
        <v>1115</v>
      </c>
      <c r="C245" t="s">
        <v>480</v>
      </c>
      <c r="D245">
        <v>850</v>
      </c>
      <c r="E245" t="s">
        <v>1116</v>
      </c>
      <c r="F245" t="s">
        <v>562</v>
      </c>
      <c r="G245" t="s">
        <v>563</v>
      </c>
      <c r="H245" t="s">
        <v>564</v>
      </c>
      <c r="I245">
        <v>19</v>
      </c>
      <c r="J245">
        <v>419</v>
      </c>
      <c r="K245">
        <v>29</v>
      </c>
    </row>
    <row r="246" spans="1:11" x14ac:dyDescent="0.25">
      <c r="A246" t="s">
        <v>1117</v>
      </c>
      <c r="B246" t="s">
        <v>1118</v>
      </c>
      <c r="C246" t="s">
        <v>1119</v>
      </c>
      <c r="D246">
        <v>876</v>
      </c>
      <c r="E246" t="s">
        <v>1120</v>
      </c>
      <c r="F246" t="s">
        <v>550</v>
      </c>
      <c r="G246" t="s">
        <v>551</v>
      </c>
      <c r="H246" t="s">
        <v>534</v>
      </c>
      <c r="I246">
        <v>9</v>
      </c>
      <c r="J246">
        <v>61</v>
      </c>
    </row>
    <row r="247" spans="1:11" x14ac:dyDescent="0.25">
      <c r="A247" t="s">
        <v>1121</v>
      </c>
      <c r="B247" t="s">
        <v>1122</v>
      </c>
      <c r="C247" t="s">
        <v>1123</v>
      </c>
      <c r="D247">
        <v>732</v>
      </c>
      <c r="E247" t="s">
        <v>1124</v>
      </c>
      <c r="F247" t="s">
        <v>546</v>
      </c>
      <c r="G247" t="s">
        <v>547</v>
      </c>
      <c r="H247" t="s">
        <v>534</v>
      </c>
      <c r="I247">
        <v>2</v>
      </c>
      <c r="J247">
        <v>15</v>
      </c>
    </row>
    <row r="248" spans="1:11" x14ac:dyDescent="0.25">
      <c r="A248" t="s">
        <v>518</v>
      </c>
      <c r="B248" t="s">
        <v>1125</v>
      </c>
      <c r="C248" t="s">
        <v>484</v>
      </c>
      <c r="D248">
        <v>887</v>
      </c>
      <c r="E248" t="s">
        <v>1126</v>
      </c>
      <c r="F248" t="s">
        <v>532</v>
      </c>
      <c r="G248" t="s">
        <v>576</v>
      </c>
      <c r="H248" t="s">
        <v>534</v>
      </c>
      <c r="I248">
        <v>142</v>
      </c>
      <c r="J248">
        <v>145</v>
      </c>
    </row>
    <row r="249" spans="1:11" x14ac:dyDescent="0.25">
      <c r="A249" t="s">
        <v>485</v>
      </c>
      <c r="B249" t="s">
        <v>1127</v>
      </c>
      <c r="C249" t="s">
        <v>486</v>
      </c>
      <c r="D249">
        <v>894</v>
      </c>
      <c r="E249" t="s">
        <v>1128</v>
      </c>
      <c r="F249" t="s">
        <v>546</v>
      </c>
      <c r="G249" t="s">
        <v>556</v>
      </c>
      <c r="H249" t="s">
        <v>631</v>
      </c>
      <c r="I249">
        <v>2</v>
      </c>
      <c r="J249">
        <v>202</v>
      </c>
      <c r="K249">
        <v>14</v>
      </c>
    </row>
    <row r="250" spans="1:11" x14ac:dyDescent="0.25">
      <c r="A250" t="s">
        <v>487</v>
      </c>
      <c r="B250" t="s">
        <v>1129</v>
      </c>
      <c r="C250" t="s">
        <v>488</v>
      </c>
      <c r="D250">
        <v>716</v>
      </c>
      <c r="E250" t="s">
        <v>1130</v>
      </c>
      <c r="F250" t="s">
        <v>546</v>
      </c>
      <c r="G250" t="s">
        <v>556</v>
      </c>
      <c r="H250" t="s">
        <v>631</v>
      </c>
      <c r="I250">
        <v>2</v>
      </c>
      <c r="J250">
        <v>202</v>
      </c>
      <c r="K250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CF97-DD36-4987-A041-6FFDB0BD115B}">
  <dimension ref="A1:C218"/>
  <sheetViews>
    <sheetView topLeftCell="A186" workbookViewId="0">
      <selection activeCell="B2" sqref="B2:C218"/>
    </sheetView>
  </sheetViews>
  <sheetFormatPr defaultRowHeight="15" x14ac:dyDescent="0.25"/>
  <cols>
    <col min="1" max="1" width="10.7109375" bestFit="1" customWidth="1"/>
    <col min="2" max="2" width="26.28515625" bestFit="1" customWidth="1"/>
    <col min="3" max="3" width="45.28515625" bestFit="1" customWidth="1"/>
  </cols>
  <sheetData>
    <row r="1" spans="1:3" x14ac:dyDescent="0.25">
      <c r="A1" t="s">
        <v>0</v>
      </c>
      <c r="B1" t="s">
        <v>489</v>
      </c>
      <c r="C1" t="s">
        <v>490</v>
      </c>
    </row>
    <row r="2" spans="1:3" x14ac:dyDescent="0.25">
      <c r="A2">
        <v>0</v>
      </c>
      <c r="B2" t="s">
        <v>55</v>
      </c>
      <c r="C2" t="s">
        <v>55</v>
      </c>
    </row>
    <row r="3" spans="1:3" x14ac:dyDescent="0.25">
      <c r="A3">
        <v>1</v>
      </c>
      <c r="B3" t="s">
        <v>57</v>
      </c>
      <c r="C3" t="s">
        <v>57</v>
      </c>
    </row>
    <row r="4" spans="1:3" x14ac:dyDescent="0.25">
      <c r="A4">
        <v>2</v>
      </c>
      <c r="B4" t="s">
        <v>59</v>
      </c>
      <c r="C4" t="s">
        <v>59</v>
      </c>
    </row>
    <row r="5" spans="1:3" x14ac:dyDescent="0.25">
      <c r="A5">
        <v>3</v>
      </c>
      <c r="B5" t="s">
        <v>61</v>
      </c>
      <c r="C5" t="s">
        <v>61</v>
      </c>
    </row>
    <row r="6" spans="1:3" x14ac:dyDescent="0.25">
      <c r="A6">
        <v>4</v>
      </c>
      <c r="B6" t="s">
        <v>63</v>
      </c>
      <c r="C6" t="s">
        <v>63</v>
      </c>
    </row>
    <row r="7" spans="1:3" x14ac:dyDescent="0.25">
      <c r="A7">
        <v>5</v>
      </c>
      <c r="B7" t="s">
        <v>65</v>
      </c>
      <c r="C7" t="s">
        <v>65</v>
      </c>
    </row>
    <row r="8" spans="1:3" x14ac:dyDescent="0.25">
      <c r="A8">
        <v>6</v>
      </c>
      <c r="B8" t="s">
        <v>67</v>
      </c>
      <c r="C8" t="s">
        <v>67</v>
      </c>
    </row>
    <row r="9" spans="1:3" x14ac:dyDescent="0.25">
      <c r="A9">
        <v>7</v>
      </c>
      <c r="B9" t="s">
        <v>69</v>
      </c>
      <c r="C9" t="s">
        <v>69</v>
      </c>
    </row>
    <row r="10" spans="1:3" x14ac:dyDescent="0.25">
      <c r="A10">
        <v>8</v>
      </c>
      <c r="B10" t="s">
        <v>71</v>
      </c>
      <c r="C10" t="s">
        <v>71</v>
      </c>
    </row>
    <row r="11" spans="1:3" x14ac:dyDescent="0.25">
      <c r="A11">
        <v>9</v>
      </c>
      <c r="B11" t="s">
        <v>73</v>
      </c>
      <c r="C11" t="s">
        <v>73</v>
      </c>
    </row>
    <row r="12" spans="1:3" x14ac:dyDescent="0.25">
      <c r="A12">
        <v>10</v>
      </c>
      <c r="B12" t="s">
        <v>75</v>
      </c>
      <c r="C12" t="s">
        <v>75</v>
      </c>
    </row>
    <row r="13" spans="1:3" x14ac:dyDescent="0.25">
      <c r="A13">
        <v>11</v>
      </c>
      <c r="B13" t="s">
        <v>77</v>
      </c>
      <c r="C13" t="s">
        <v>77</v>
      </c>
    </row>
    <row r="14" spans="1:3" x14ac:dyDescent="0.25">
      <c r="A14">
        <v>12</v>
      </c>
      <c r="B14" t="s">
        <v>79</v>
      </c>
      <c r="C14" t="s">
        <v>79</v>
      </c>
    </row>
    <row r="15" spans="1:3" x14ac:dyDescent="0.25">
      <c r="A15">
        <v>13</v>
      </c>
      <c r="B15" t="s">
        <v>81</v>
      </c>
      <c r="C15" t="s">
        <v>491</v>
      </c>
    </row>
    <row r="16" spans="1:3" x14ac:dyDescent="0.25">
      <c r="A16">
        <v>14</v>
      </c>
      <c r="B16" t="s">
        <v>83</v>
      </c>
      <c r="C16" t="s">
        <v>83</v>
      </c>
    </row>
    <row r="17" spans="1:3" x14ac:dyDescent="0.25">
      <c r="A17">
        <v>15</v>
      </c>
      <c r="B17" t="s">
        <v>85</v>
      </c>
      <c r="C17" t="s">
        <v>85</v>
      </c>
    </row>
    <row r="18" spans="1:3" x14ac:dyDescent="0.25">
      <c r="A18">
        <v>16</v>
      </c>
      <c r="B18" t="s">
        <v>87</v>
      </c>
      <c r="C18" t="s">
        <v>87</v>
      </c>
    </row>
    <row r="19" spans="1:3" x14ac:dyDescent="0.25">
      <c r="A19">
        <v>17</v>
      </c>
      <c r="B19" t="s">
        <v>89</v>
      </c>
      <c r="C19" t="s">
        <v>89</v>
      </c>
    </row>
    <row r="20" spans="1:3" x14ac:dyDescent="0.25">
      <c r="A20">
        <v>18</v>
      </c>
      <c r="B20" t="s">
        <v>91</v>
      </c>
      <c r="C20" t="s">
        <v>91</v>
      </c>
    </row>
    <row r="21" spans="1:3" x14ac:dyDescent="0.25">
      <c r="A21">
        <v>19</v>
      </c>
      <c r="B21" t="s">
        <v>93</v>
      </c>
      <c r="C21" t="s">
        <v>93</v>
      </c>
    </row>
    <row r="22" spans="1:3" x14ac:dyDescent="0.25">
      <c r="A22">
        <v>20</v>
      </c>
      <c r="B22" t="s">
        <v>95</v>
      </c>
      <c r="C22" t="s">
        <v>95</v>
      </c>
    </row>
    <row r="23" spans="1:3" x14ac:dyDescent="0.25">
      <c r="A23">
        <v>21</v>
      </c>
      <c r="B23" t="s">
        <v>97</v>
      </c>
      <c r="C23" t="s">
        <v>97</v>
      </c>
    </row>
    <row r="24" spans="1:3" x14ac:dyDescent="0.25">
      <c r="A24">
        <v>22</v>
      </c>
      <c r="B24" t="s">
        <v>99</v>
      </c>
      <c r="C24" t="s">
        <v>99</v>
      </c>
    </row>
    <row r="25" spans="1:3" x14ac:dyDescent="0.25">
      <c r="A25">
        <v>23</v>
      </c>
      <c r="B25" t="s">
        <v>101</v>
      </c>
      <c r="C25" t="s">
        <v>492</v>
      </c>
    </row>
    <row r="26" spans="1:3" x14ac:dyDescent="0.25">
      <c r="A26">
        <v>24</v>
      </c>
      <c r="B26" t="s">
        <v>103</v>
      </c>
      <c r="C26" t="s">
        <v>103</v>
      </c>
    </row>
    <row r="27" spans="1:3" x14ac:dyDescent="0.25">
      <c r="A27">
        <v>25</v>
      </c>
      <c r="B27" t="s">
        <v>105</v>
      </c>
      <c r="C27" t="s">
        <v>105</v>
      </c>
    </row>
    <row r="28" spans="1:3" x14ac:dyDescent="0.25">
      <c r="A28">
        <v>26</v>
      </c>
      <c r="B28" t="s">
        <v>107</v>
      </c>
      <c r="C28" t="s">
        <v>107</v>
      </c>
    </row>
    <row r="29" spans="1:3" x14ac:dyDescent="0.25">
      <c r="A29">
        <v>27</v>
      </c>
      <c r="B29" t="s">
        <v>109</v>
      </c>
      <c r="C29" t="s">
        <v>493</v>
      </c>
    </row>
    <row r="30" spans="1:3" x14ac:dyDescent="0.25">
      <c r="A30">
        <v>28</v>
      </c>
      <c r="B30" t="s">
        <v>111</v>
      </c>
      <c r="C30" t="s">
        <v>111</v>
      </c>
    </row>
    <row r="31" spans="1:3" x14ac:dyDescent="0.25">
      <c r="A31">
        <v>29</v>
      </c>
      <c r="B31" t="s">
        <v>113</v>
      </c>
      <c r="C31" t="s">
        <v>113</v>
      </c>
    </row>
    <row r="32" spans="1:3" x14ac:dyDescent="0.25">
      <c r="A32">
        <v>30</v>
      </c>
      <c r="B32" t="s">
        <v>115</v>
      </c>
      <c r="C32" t="s">
        <v>115</v>
      </c>
    </row>
    <row r="33" spans="1:3" x14ac:dyDescent="0.25">
      <c r="A33">
        <v>31</v>
      </c>
      <c r="B33" t="s">
        <v>117</v>
      </c>
      <c r="C33" t="s">
        <v>117</v>
      </c>
    </row>
    <row r="34" spans="1:3" x14ac:dyDescent="0.25">
      <c r="A34">
        <v>32</v>
      </c>
      <c r="B34" t="s">
        <v>119</v>
      </c>
      <c r="C34" t="s">
        <v>119</v>
      </c>
    </row>
    <row r="35" spans="1:3" x14ac:dyDescent="0.25">
      <c r="A35">
        <v>33</v>
      </c>
      <c r="B35" t="s">
        <v>121</v>
      </c>
      <c r="C35" t="s">
        <v>121</v>
      </c>
    </row>
    <row r="36" spans="1:3" x14ac:dyDescent="0.25">
      <c r="A36">
        <v>34</v>
      </c>
      <c r="B36" t="s">
        <v>123</v>
      </c>
      <c r="C36" t="s">
        <v>123</v>
      </c>
    </row>
    <row r="37" spans="1:3" x14ac:dyDescent="0.25">
      <c r="A37">
        <v>35</v>
      </c>
      <c r="B37" t="s">
        <v>125</v>
      </c>
      <c r="C37" t="s">
        <v>125</v>
      </c>
    </row>
    <row r="38" spans="1:3" x14ac:dyDescent="0.25">
      <c r="A38">
        <v>36</v>
      </c>
      <c r="B38" t="s">
        <v>127</v>
      </c>
      <c r="C38" t="s">
        <v>127</v>
      </c>
    </row>
    <row r="39" spans="1:3" x14ac:dyDescent="0.25">
      <c r="A39">
        <v>37</v>
      </c>
      <c r="B39" t="s">
        <v>129</v>
      </c>
      <c r="C39" t="s">
        <v>129</v>
      </c>
    </row>
    <row r="40" spans="1:3" x14ac:dyDescent="0.25">
      <c r="A40">
        <v>38</v>
      </c>
      <c r="B40" t="s">
        <v>131</v>
      </c>
      <c r="C40" t="s">
        <v>131</v>
      </c>
    </row>
    <row r="41" spans="1:3" x14ac:dyDescent="0.25">
      <c r="A41">
        <v>39</v>
      </c>
      <c r="B41" t="s">
        <v>133</v>
      </c>
      <c r="C41" t="s">
        <v>494</v>
      </c>
    </row>
    <row r="42" spans="1:3" x14ac:dyDescent="0.25">
      <c r="A42">
        <v>40</v>
      </c>
      <c r="B42" t="s">
        <v>135</v>
      </c>
      <c r="C42" t="s">
        <v>135</v>
      </c>
    </row>
    <row r="43" spans="1:3" x14ac:dyDescent="0.25">
      <c r="A43">
        <v>41</v>
      </c>
      <c r="B43" t="s">
        <v>137</v>
      </c>
      <c r="C43" t="s">
        <v>137</v>
      </c>
    </row>
    <row r="44" spans="1:3" x14ac:dyDescent="0.25">
      <c r="A44">
        <v>42</v>
      </c>
      <c r="B44" t="s">
        <v>139</v>
      </c>
      <c r="C44" t="s">
        <v>139</v>
      </c>
    </row>
    <row r="45" spans="1:3" x14ac:dyDescent="0.25">
      <c r="A45">
        <v>43</v>
      </c>
      <c r="B45" t="s">
        <v>141</v>
      </c>
      <c r="C45" t="s">
        <v>141</v>
      </c>
    </row>
    <row r="46" spans="1:3" x14ac:dyDescent="0.25">
      <c r="A46">
        <v>44</v>
      </c>
      <c r="B46" t="s">
        <v>143</v>
      </c>
      <c r="C46" t="s">
        <v>495</v>
      </c>
    </row>
    <row r="47" spans="1:3" x14ac:dyDescent="0.25">
      <c r="A47">
        <v>45</v>
      </c>
      <c r="B47" t="s">
        <v>145</v>
      </c>
      <c r="C47" t="s">
        <v>495</v>
      </c>
    </row>
    <row r="48" spans="1:3" x14ac:dyDescent="0.25">
      <c r="A48">
        <v>46</v>
      </c>
      <c r="B48" t="s">
        <v>147</v>
      </c>
      <c r="C48" t="s">
        <v>147</v>
      </c>
    </row>
    <row r="49" spans="1:3" x14ac:dyDescent="0.25">
      <c r="A49">
        <v>47</v>
      </c>
      <c r="B49" t="s">
        <v>149</v>
      </c>
      <c r="C49" t="s">
        <v>496</v>
      </c>
    </row>
    <row r="50" spans="1:3" x14ac:dyDescent="0.25">
      <c r="A50">
        <v>48</v>
      </c>
      <c r="B50" t="s">
        <v>151</v>
      </c>
      <c r="C50" t="s">
        <v>151</v>
      </c>
    </row>
    <row r="51" spans="1:3" x14ac:dyDescent="0.25">
      <c r="A51">
        <v>49</v>
      </c>
      <c r="B51" t="s">
        <v>153</v>
      </c>
      <c r="C51" t="s">
        <v>153</v>
      </c>
    </row>
    <row r="52" spans="1:3" x14ac:dyDescent="0.25">
      <c r="A52">
        <v>50</v>
      </c>
      <c r="B52" t="s">
        <v>155</v>
      </c>
      <c r="C52" t="s">
        <v>497</v>
      </c>
    </row>
    <row r="53" spans="1:3" x14ac:dyDescent="0.25">
      <c r="A53">
        <v>51</v>
      </c>
      <c r="B53" t="s">
        <v>157</v>
      </c>
      <c r="C53" t="s">
        <v>157</v>
      </c>
    </row>
    <row r="54" spans="1:3" x14ac:dyDescent="0.25">
      <c r="A54">
        <v>52</v>
      </c>
      <c r="B54" t="s">
        <v>159</v>
      </c>
      <c r="C54" t="s">
        <v>159</v>
      </c>
    </row>
    <row r="55" spans="1:3" x14ac:dyDescent="0.25">
      <c r="A55">
        <v>53</v>
      </c>
      <c r="B55" t="s">
        <v>161</v>
      </c>
      <c r="C55" t="s">
        <v>161</v>
      </c>
    </row>
    <row r="56" spans="1:3" x14ac:dyDescent="0.25">
      <c r="A56">
        <v>54</v>
      </c>
      <c r="B56" t="s">
        <v>163</v>
      </c>
      <c r="C56" t="s">
        <v>163</v>
      </c>
    </row>
    <row r="57" spans="1:3" x14ac:dyDescent="0.25">
      <c r="A57">
        <v>55</v>
      </c>
      <c r="B57" t="s">
        <v>165</v>
      </c>
      <c r="C57" t="s">
        <v>165</v>
      </c>
    </row>
    <row r="58" spans="1:3" x14ac:dyDescent="0.25">
      <c r="A58">
        <v>56</v>
      </c>
      <c r="B58" t="s">
        <v>167</v>
      </c>
      <c r="C58" t="s">
        <v>167</v>
      </c>
    </row>
    <row r="59" spans="1:3" x14ac:dyDescent="0.25">
      <c r="A59">
        <v>57</v>
      </c>
      <c r="B59" t="s">
        <v>169</v>
      </c>
      <c r="C59" t="s">
        <v>169</v>
      </c>
    </row>
    <row r="60" spans="1:3" x14ac:dyDescent="0.25">
      <c r="A60">
        <v>58</v>
      </c>
      <c r="B60" t="s">
        <v>171</v>
      </c>
      <c r="C60" t="s">
        <v>498</v>
      </c>
    </row>
    <row r="61" spans="1:3" x14ac:dyDescent="0.25">
      <c r="A61">
        <v>59</v>
      </c>
      <c r="B61" t="s">
        <v>173</v>
      </c>
      <c r="C61" t="s">
        <v>173</v>
      </c>
    </row>
    <row r="62" spans="1:3" x14ac:dyDescent="0.25">
      <c r="A62">
        <v>60</v>
      </c>
      <c r="B62" t="s">
        <v>175</v>
      </c>
      <c r="C62" t="s">
        <v>175</v>
      </c>
    </row>
    <row r="63" spans="1:3" x14ac:dyDescent="0.25">
      <c r="A63">
        <v>61</v>
      </c>
      <c r="B63" t="s">
        <v>177</v>
      </c>
      <c r="C63" t="s">
        <v>177</v>
      </c>
    </row>
    <row r="64" spans="1:3" x14ac:dyDescent="0.25">
      <c r="A64">
        <v>62</v>
      </c>
      <c r="B64" t="s">
        <v>179</v>
      </c>
      <c r="C64" t="s">
        <v>179</v>
      </c>
    </row>
    <row r="65" spans="1:3" x14ac:dyDescent="0.25">
      <c r="A65">
        <v>63</v>
      </c>
      <c r="B65" t="s">
        <v>181</v>
      </c>
      <c r="C65" t="s">
        <v>181</v>
      </c>
    </row>
    <row r="66" spans="1:3" x14ac:dyDescent="0.25">
      <c r="A66">
        <v>64</v>
      </c>
      <c r="B66" t="s">
        <v>183</v>
      </c>
      <c r="C66" t="s">
        <v>183</v>
      </c>
    </row>
    <row r="67" spans="1:3" x14ac:dyDescent="0.25">
      <c r="A67">
        <v>65</v>
      </c>
      <c r="B67" t="s">
        <v>185</v>
      </c>
      <c r="C67" t="s">
        <v>185</v>
      </c>
    </row>
    <row r="68" spans="1:3" x14ac:dyDescent="0.25">
      <c r="A68">
        <v>66</v>
      </c>
      <c r="B68" t="s">
        <v>187</v>
      </c>
      <c r="C68" t="s">
        <v>187</v>
      </c>
    </row>
    <row r="69" spans="1:3" x14ac:dyDescent="0.25">
      <c r="A69">
        <v>67</v>
      </c>
      <c r="B69" t="s">
        <v>189</v>
      </c>
      <c r="C69" t="s">
        <v>189</v>
      </c>
    </row>
    <row r="70" spans="1:3" x14ac:dyDescent="0.25">
      <c r="A70">
        <v>68</v>
      </c>
      <c r="B70" t="s">
        <v>191</v>
      </c>
      <c r="C70" t="s">
        <v>191</v>
      </c>
    </row>
    <row r="71" spans="1:3" x14ac:dyDescent="0.25">
      <c r="A71">
        <v>69</v>
      </c>
      <c r="B71" t="s">
        <v>193</v>
      </c>
      <c r="C71" t="s">
        <v>193</v>
      </c>
    </row>
    <row r="72" spans="1:3" x14ac:dyDescent="0.25">
      <c r="A72">
        <v>70</v>
      </c>
      <c r="B72" t="s">
        <v>195</v>
      </c>
      <c r="C72" t="s">
        <v>195</v>
      </c>
    </row>
    <row r="73" spans="1:3" x14ac:dyDescent="0.25">
      <c r="A73">
        <v>71</v>
      </c>
      <c r="B73" t="s">
        <v>197</v>
      </c>
      <c r="C73" t="s">
        <v>499</v>
      </c>
    </row>
    <row r="74" spans="1:3" x14ac:dyDescent="0.25">
      <c r="A74">
        <v>72</v>
      </c>
      <c r="B74" t="s">
        <v>199</v>
      </c>
      <c r="C74" t="s">
        <v>199</v>
      </c>
    </row>
    <row r="75" spans="1:3" x14ac:dyDescent="0.25">
      <c r="A75">
        <v>73</v>
      </c>
      <c r="B75" t="s">
        <v>201</v>
      </c>
      <c r="C75" t="s">
        <v>201</v>
      </c>
    </row>
    <row r="76" spans="1:3" x14ac:dyDescent="0.25">
      <c r="A76">
        <v>74</v>
      </c>
      <c r="B76" t="s">
        <v>203</v>
      </c>
      <c r="C76" t="s">
        <v>203</v>
      </c>
    </row>
    <row r="77" spans="1:3" x14ac:dyDescent="0.25">
      <c r="A77">
        <v>75</v>
      </c>
      <c r="B77" t="s">
        <v>205</v>
      </c>
      <c r="C77" t="s">
        <v>205</v>
      </c>
    </row>
    <row r="78" spans="1:3" x14ac:dyDescent="0.25">
      <c r="A78">
        <v>76</v>
      </c>
      <c r="B78" t="s">
        <v>207</v>
      </c>
      <c r="C78" t="s">
        <v>207</v>
      </c>
    </row>
    <row r="79" spans="1:3" x14ac:dyDescent="0.25">
      <c r="A79">
        <v>77</v>
      </c>
      <c r="B79" t="s">
        <v>209</v>
      </c>
      <c r="C79" t="s">
        <v>209</v>
      </c>
    </row>
    <row r="80" spans="1:3" x14ac:dyDescent="0.25">
      <c r="A80">
        <v>78</v>
      </c>
      <c r="B80" t="s">
        <v>211</v>
      </c>
      <c r="C80" t="s">
        <v>211</v>
      </c>
    </row>
    <row r="81" spans="1:3" x14ac:dyDescent="0.25">
      <c r="A81">
        <v>79</v>
      </c>
      <c r="B81" t="s">
        <v>213</v>
      </c>
      <c r="C81" t="s">
        <v>213</v>
      </c>
    </row>
    <row r="82" spans="1:3" x14ac:dyDescent="0.25">
      <c r="A82">
        <v>80</v>
      </c>
      <c r="B82" t="s">
        <v>215</v>
      </c>
      <c r="C82" t="s">
        <v>215</v>
      </c>
    </row>
    <row r="83" spans="1:3" x14ac:dyDescent="0.25">
      <c r="A83">
        <v>81</v>
      </c>
      <c r="B83" t="s">
        <v>217</v>
      </c>
      <c r="C83" t="s">
        <v>217</v>
      </c>
    </row>
    <row r="84" spans="1:3" x14ac:dyDescent="0.25">
      <c r="A84">
        <v>82</v>
      </c>
      <c r="B84" t="s">
        <v>219</v>
      </c>
      <c r="C84" t="s">
        <v>219</v>
      </c>
    </row>
    <row r="85" spans="1:3" x14ac:dyDescent="0.25">
      <c r="A85">
        <v>83</v>
      </c>
      <c r="B85" t="s">
        <v>221</v>
      </c>
      <c r="C85" t="s">
        <v>221</v>
      </c>
    </row>
    <row r="86" spans="1:3" x14ac:dyDescent="0.25">
      <c r="A86">
        <v>84</v>
      </c>
      <c r="B86" t="s">
        <v>223</v>
      </c>
      <c r="C86" t="s">
        <v>223</v>
      </c>
    </row>
    <row r="87" spans="1:3" x14ac:dyDescent="0.25">
      <c r="A87">
        <v>85</v>
      </c>
      <c r="B87" t="s">
        <v>225</v>
      </c>
      <c r="C87" t="s">
        <v>225</v>
      </c>
    </row>
    <row r="88" spans="1:3" x14ac:dyDescent="0.25">
      <c r="A88">
        <v>86</v>
      </c>
      <c r="B88" t="s">
        <v>227</v>
      </c>
      <c r="C88" t="s">
        <v>137</v>
      </c>
    </row>
    <row r="89" spans="1:3" x14ac:dyDescent="0.25">
      <c r="A89">
        <v>87</v>
      </c>
      <c r="B89" t="s">
        <v>229</v>
      </c>
      <c r="C89" t="s">
        <v>229</v>
      </c>
    </row>
    <row r="90" spans="1:3" x14ac:dyDescent="0.25">
      <c r="A90">
        <v>88</v>
      </c>
      <c r="B90" t="s">
        <v>231</v>
      </c>
      <c r="C90" t="s">
        <v>231</v>
      </c>
    </row>
    <row r="91" spans="1:3" x14ac:dyDescent="0.25">
      <c r="A91">
        <v>89</v>
      </c>
      <c r="B91" t="s">
        <v>233</v>
      </c>
      <c r="C91" t="s">
        <v>233</v>
      </c>
    </row>
    <row r="92" spans="1:3" x14ac:dyDescent="0.25">
      <c r="A92">
        <v>90</v>
      </c>
      <c r="B92" t="s">
        <v>235</v>
      </c>
      <c r="C92" t="s">
        <v>235</v>
      </c>
    </row>
    <row r="93" spans="1:3" x14ac:dyDescent="0.25">
      <c r="A93">
        <v>91</v>
      </c>
      <c r="B93" t="s">
        <v>237</v>
      </c>
      <c r="C93" t="s">
        <v>500</v>
      </c>
    </row>
    <row r="94" spans="1:3" x14ac:dyDescent="0.25">
      <c r="A94">
        <v>92</v>
      </c>
      <c r="B94" t="s">
        <v>239</v>
      </c>
      <c r="C94" t="s">
        <v>239</v>
      </c>
    </row>
    <row r="95" spans="1:3" x14ac:dyDescent="0.25">
      <c r="A95">
        <v>93</v>
      </c>
      <c r="B95" t="s">
        <v>241</v>
      </c>
      <c r="C95" t="s">
        <v>241</v>
      </c>
    </row>
    <row r="96" spans="1:3" x14ac:dyDescent="0.25">
      <c r="A96">
        <v>94</v>
      </c>
      <c r="B96" t="s">
        <v>243</v>
      </c>
      <c r="C96" t="s">
        <v>243</v>
      </c>
    </row>
    <row r="97" spans="1:3" x14ac:dyDescent="0.25">
      <c r="A97">
        <v>95</v>
      </c>
      <c r="B97" t="s">
        <v>245</v>
      </c>
      <c r="C97" t="s">
        <v>245</v>
      </c>
    </row>
    <row r="98" spans="1:3" x14ac:dyDescent="0.25">
      <c r="A98">
        <v>96</v>
      </c>
      <c r="B98" t="s">
        <v>247</v>
      </c>
      <c r="C98" t="s">
        <v>247</v>
      </c>
    </row>
    <row r="99" spans="1:3" x14ac:dyDescent="0.25">
      <c r="A99">
        <v>97</v>
      </c>
      <c r="B99" t="s">
        <v>249</v>
      </c>
      <c r="C99" t="s">
        <v>249</v>
      </c>
    </row>
    <row r="100" spans="1:3" x14ac:dyDescent="0.25">
      <c r="A100">
        <v>98</v>
      </c>
      <c r="B100" t="s">
        <v>251</v>
      </c>
      <c r="C100" t="s">
        <v>251</v>
      </c>
    </row>
    <row r="101" spans="1:3" x14ac:dyDescent="0.25">
      <c r="A101">
        <v>99</v>
      </c>
      <c r="B101" t="s">
        <v>253</v>
      </c>
      <c r="C101" t="s">
        <v>253</v>
      </c>
    </row>
    <row r="102" spans="1:3" x14ac:dyDescent="0.25">
      <c r="A102">
        <v>100</v>
      </c>
      <c r="B102" t="s">
        <v>255</v>
      </c>
      <c r="C102" t="s">
        <v>255</v>
      </c>
    </row>
    <row r="103" spans="1:3" x14ac:dyDescent="0.25">
      <c r="A103">
        <v>101</v>
      </c>
      <c r="B103" t="s">
        <v>257</v>
      </c>
      <c r="C103" t="s">
        <v>257</v>
      </c>
    </row>
    <row r="104" spans="1:3" x14ac:dyDescent="0.25">
      <c r="A104">
        <v>102</v>
      </c>
      <c r="B104" t="s">
        <v>259</v>
      </c>
      <c r="C104" t="s">
        <v>259</v>
      </c>
    </row>
    <row r="105" spans="1:3" x14ac:dyDescent="0.25">
      <c r="A105">
        <v>103</v>
      </c>
      <c r="B105" t="s">
        <v>261</v>
      </c>
      <c r="C105" t="s">
        <v>501</v>
      </c>
    </row>
    <row r="106" spans="1:3" x14ac:dyDescent="0.25">
      <c r="A106">
        <v>104</v>
      </c>
      <c r="B106" t="s">
        <v>263</v>
      </c>
      <c r="C106" t="s">
        <v>502</v>
      </c>
    </row>
    <row r="107" spans="1:3" x14ac:dyDescent="0.25">
      <c r="A107">
        <v>105</v>
      </c>
      <c r="B107" t="s">
        <v>265</v>
      </c>
      <c r="C107" t="s">
        <v>405</v>
      </c>
    </row>
    <row r="108" spans="1:3" x14ac:dyDescent="0.25">
      <c r="A108">
        <v>106</v>
      </c>
      <c r="B108" t="s">
        <v>267</v>
      </c>
      <c r="C108" t="s">
        <v>267</v>
      </c>
    </row>
    <row r="109" spans="1:3" x14ac:dyDescent="0.25">
      <c r="A109">
        <v>107</v>
      </c>
      <c r="B109" t="s">
        <v>269</v>
      </c>
      <c r="C109" t="s">
        <v>129</v>
      </c>
    </row>
    <row r="110" spans="1:3" x14ac:dyDescent="0.25">
      <c r="A110">
        <v>108</v>
      </c>
      <c r="B110" t="s">
        <v>271</v>
      </c>
      <c r="C110" t="s">
        <v>503</v>
      </c>
    </row>
    <row r="111" spans="1:3" x14ac:dyDescent="0.25">
      <c r="A111">
        <v>109</v>
      </c>
      <c r="B111" t="s">
        <v>273</v>
      </c>
      <c r="C111" t="s">
        <v>273</v>
      </c>
    </row>
    <row r="112" spans="1:3" x14ac:dyDescent="0.25">
      <c r="A112">
        <v>110</v>
      </c>
      <c r="B112" t="s">
        <v>275</v>
      </c>
      <c r="C112" t="s">
        <v>275</v>
      </c>
    </row>
    <row r="113" spans="1:3" x14ac:dyDescent="0.25">
      <c r="A113">
        <v>111</v>
      </c>
      <c r="B113" t="s">
        <v>277</v>
      </c>
      <c r="C113" t="s">
        <v>277</v>
      </c>
    </row>
    <row r="114" spans="1:3" x14ac:dyDescent="0.25">
      <c r="A114">
        <v>112</v>
      </c>
      <c r="B114" t="s">
        <v>279</v>
      </c>
      <c r="C114" t="s">
        <v>279</v>
      </c>
    </row>
    <row r="115" spans="1:3" x14ac:dyDescent="0.25">
      <c r="A115">
        <v>113</v>
      </c>
      <c r="B115" t="s">
        <v>281</v>
      </c>
      <c r="C115" t="s">
        <v>281</v>
      </c>
    </row>
    <row r="116" spans="1:3" x14ac:dyDescent="0.25">
      <c r="A116">
        <v>114</v>
      </c>
      <c r="B116" t="s">
        <v>283</v>
      </c>
      <c r="C116" t="s">
        <v>283</v>
      </c>
    </row>
    <row r="117" spans="1:3" x14ac:dyDescent="0.25">
      <c r="A117">
        <v>115</v>
      </c>
      <c r="B117" t="s">
        <v>285</v>
      </c>
      <c r="C117" t="s">
        <v>285</v>
      </c>
    </row>
    <row r="118" spans="1:3" x14ac:dyDescent="0.25">
      <c r="A118">
        <v>116</v>
      </c>
      <c r="B118" t="s">
        <v>287</v>
      </c>
      <c r="C118" t="s">
        <v>287</v>
      </c>
    </row>
    <row r="119" spans="1:3" x14ac:dyDescent="0.25">
      <c r="A119">
        <v>117</v>
      </c>
      <c r="B119" t="s">
        <v>289</v>
      </c>
      <c r="C119" t="s">
        <v>137</v>
      </c>
    </row>
    <row r="120" spans="1:3" x14ac:dyDescent="0.25">
      <c r="A120">
        <v>118</v>
      </c>
      <c r="B120" t="s">
        <v>291</v>
      </c>
      <c r="C120" t="s">
        <v>291</v>
      </c>
    </row>
    <row r="121" spans="1:3" x14ac:dyDescent="0.25">
      <c r="A121">
        <v>119</v>
      </c>
      <c r="B121" t="s">
        <v>293</v>
      </c>
      <c r="C121" t="s">
        <v>293</v>
      </c>
    </row>
    <row r="122" spans="1:3" x14ac:dyDescent="0.25">
      <c r="A122">
        <v>120</v>
      </c>
      <c r="B122" t="s">
        <v>295</v>
      </c>
      <c r="C122" t="s">
        <v>295</v>
      </c>
    </row>
    <row r="123" spans="1:3" x14ac:dyDescent="0.25">
      <c r="A123">
        <v>121</v>
      </c>
      <c r="B123" t="s">
        <v>297</v>
      </c>
      <c r="C123" t="s">
        <v>297</v>
      </c>
    </row>
    <row r="124" spans="1:3" x14ac:dyDescent="0.25">
      <c r="A124">
        <v>122</v>
      </c>
      <c r="B124" t="s">
        <v>299</v>
      </c>
      <c r="C124" t="s">
        <v>299</v>
      </c>
    </row>
    <row r="125" spans="1:3" x14ac:dyDescent="0.25">
      <c r="A125">
        <v>123</v>
      </c>
      <c r="B125" t="s">
        <v>301</v>
      </c>
      <c r="C125" t="s">
        <v>301</v>
      </c>
    </row>
    <row r="126" spans="1:3" x14ac:dyDescent="0.25">
      <c r="A126">
        <v>124</v>
      </c>
      <c r="B126" t="s">
        <v>303</v>
      </c>
      <c r="C126" t="s">
        <v>303</v>
      </c>
    </row>
    <row r="127" spans="1:3" x14ac:dyDescent="0.25">
      <c r="A127">
        <v>125</v>
      </c>
      <c r="B127" t="s">
        <v>305</v>
      </c>
      <c r="C127" t="s">
        <v>305</v>
      </c>
    </row>
    <row r="128" spans="1:3" x14ac:dyDescent="0.25">
      <c r="A128">
        <v>126</v>
      </c>
      <c r="B128" t="s">
        <v>307</v>
      </c>
      <c r="C128" t="s">
        <v>307</v>
      </c>
    </row>
    <row r="129" spans="1:3" x14ac:dyDescent="0.25">
      <c r="A129">
        <v>127</v>
      </c>
      <c r="B129" t="s">
        <v>309</v>
      </c>
      <c r="C129" t="s">
        <v>309</v>
      </c>
    </row>
    <row r="130" spans="1:3" x14ac:dyDescent="0.25">
      <c r="A130">
        <v>128</v>
      </c>
      <c r="B130" t="s">
        <v>311</v>
      </c>
      <c r="C130" t="s">
        <v>504</v>
      </c>
    </row>
    <row r="131" spans="1:3" x14ac:dyDescent="0.25">
      <c r="A131">
        <v>129</v>
      </c>
      <c r="B131" t="s">
        <v>313</v>
      </c>
      <c r="C131" t="s">
        <v>505</v>
      </c>
    </row>
    <row r="132" spans="1:3" x14ac:dyDescent="0.25">
      <c r="A132">
        <v>130</v>
      </c>
      <c r="B132" t="s">
        <v>315</v>
      </c>
      <c r="C132" t="s">
        <v>315</v>
      </c>
    </row>
    <row r="133" spans="1:3" x14ac:dyDescent="0.25">
      <c r="A133">
        <v>131</v>
      </c>
      <c r="B133" t="s">
        <v>317</v>
      </c>
      <c r="C133" t="s">
        <v>317</v>
      </c>
    </row>
    <row r="134" spans="1:3" x14ac:dyDescent="0.25">
      <c r="A134">
        <v>132</v>
      </c>
      <c r="B134" t="s">
        <v>319</v>
      </c>
      <c r="C134" t="s">
        <v>319</v>
      </c>
    </row>
    <row r="135" spans="1:3" x14ac:dyDescent="0.25">
      <c r="A135">
        <v>133</v>
      </c>
      <c r="B135" t="s">
        <v>321</v>
      </c>
      <c r="C135" t="s">
        <v>321</v>
      </c>
    </row>
    <row r="136" spans="1:3" x14ac:dyDescent="0.25">
      <c r="A136">
        <v>134</v>
      </c>
      <c r="B136" t="s">
        <v>323</v>
      </c>
      <c r="C136" t="s">
        <v>323</v>
      </c>
    </row>
    <row r="137" spans="1:3" x14ac:dyDescent="0.25">
      <c r="A137">
        <v>135</v>
      </c>
      <c r="B137" t="s">
        <v>325</v>
      </c>
      <c r="C137" t="s">
        <v>325</v>
      </c>
    </row>
    <row r="138" spans="1:3" x14ac:dyDescent="0.25">
      <c r="A138">
        <v>136</v>
      </c>
      <c r="B138" t="s">
        <v>327</v>
      </c>
      <c r="C138" t="s">
        <v>327</v>
      </c>
    </row>
    <row r="139" spans="1:3" x14ac:dyDescent="0.25">
      <c r="A139">
        <v>137</v>
      </c>
      <c r="B139" t="s">
        <v>329</v>
      </c>
      <c r="C139" t="s">
        <v>329</v>
      </c>
    </row>
    <row r="140" spans="1:3" x14ac:dyDescent="0.25">
      <c r="A140">
        <v>138</v>
      </c>
      <c r="B140" t="s">
        <v>331</v>
      </c>
      <c r="C140" t="s">
        <v>331</v>
      </c>
    </row>
    <row r="141" spans="1:3" x14ac:dyDescent="0.25">
      <c r="A141">
        <v>139</v>
      </c>
      <c r="B141" t="s">
        <v>333</v>
      </c>
      <c r="C141" t="s">
        <v>506</v>
      </c>
    </row>
    <row r="142" spans="1:3" x14ac:dyDescent="0.25">
      <c r="A142">
        <v>140</v>
      </c>
      <c r="B142" t="s">
        <v>335</v>
      </c>
      <c r="C142" t="s">
        <v>335</v>
      </c>
    </row>
    <row r="143" spans="1:3" x14ac:dyDescent="0.25">
      <c r="A143">
        <v>141</v>
      </c>
      <c r="B143" t="s">
        <v>337</v>
      </c>
      <c r="C143" t="s">
        <v>337</v>
      </c>
    </row>
    <row r="144" spans="1:3" x14ac:dyDescent="0.25">
      <c r="A144">
        <v>142</v>
      </c>
      <c r="B144" t="s">
        <v>339</v>
      </c>
      <c r="C144" t="s">
        <v>339</v>
      </c>
    </row>
    <row r="145" spans="1:3" x14ac:dyDescent="0.25">
      <c r="A145">
        <v>143</v>
      </c>
      <c r="B145" t="s">
        <v>341</v>
      </c>
      <c r="C145" t="s">
        <v>341</v>
      </c>
    </row>
    <row r="146" spans="1:3" x14ac:dyDescent="0.25">
      <c r="A146">
        <v>144</v>
      </c>
      <c r="B146" t="s">
        <v>343</v>
      </c>
      <c r="C146" t="s">
        <v>343</v>
      </c>
    </row>
    <row r="147" spans="1:3" x14ac:dyDescent="0.25">
      <c r="A147">
        <v>145</v>
      </c>
      <c r="B147" t="s">
        <v>345</v>
      </c>
      <c r="C147" t="s">
        <v>345</v>
      </c>
    </row>
    <row r="148" spans="1:3" x14ac:dyDescent="0.25">
      <c r="A148">
        <v>146</v>
      </c>
      <c r="B148" t="s">
        <v>347</v>
      </c>
      <c r="C148" t="s">
        <v>347</v>
      </c>
    </row>
    <row r="149" spans="1:3" x14ac:dyDescent="0.25">
      <c r="A149">
        <v>147</v>
      </c>
      <c r="B149" t="s">
        <v>349</v>
      </c>
      <c r="C149" t="s">
        <v>349</v>
      </c>
    </row>
    <row r="150" spans="1:3" x14ac:dyDescent="0.25">
      <c r="A150">
        <v>148</v>
      </c>
      <c r="B150" t="s">
        <v>351</v>
      </c>
      <c r="C150" t="s">
        <v>351</v>
      </c>
    </row>
    <row r="151" spans="1:3" x14ac:dyDescent="0.25">
      <c r="A151">
        <v>149</v>
      </c>
      <c r="B151" t="s">
        <v>353</v>
      </c>
      <c r="C151" t="s">
        <v>353</v>
      </c>
    </row>
    <row r="152" spans="1:3" x14ac:dyDescent="0.25">
      <c r="A152">
        <v>150</v>
      </c>
      <c r="B152" t="s">
        <v>355</v>
      </c>
      <c r="C152" t="s">
        <v>355</v>
      </c>
    </row>
    <row r="153" spans="1:3" x14ac:dyDescent="0.25">
      <c r="A153">
        <v>151</v>
      </c>
      <c r="B153" t="s">
        <v>357</v>
      </c>
      <c r="C153" t="s">
        <v>357</v>
      </c>
    </row>
    <row r="154" spans="1:3" x14ac:dyDescent="0.25">
      <c r="A154">
        <v>152</v>
      </c>
      <c r="B154" t="s">
        <v>359</v>
      </c>
      <c r="C154" t="s">
        <v>359</v>
      </c>
    </row>
    <row r="155" spans="1:3" x14ac:dyDescent="0.25">
      <c r="A155">
        <v>153</v>
      </c>
      <c r="B155" t="s">
        <v>361</v>
      </c>
      <c r="C155" t="s">
        <v>361</v>
      </c>
    </row>
    <row r="156" spans="1:3" x14ac:dyDescent="0.25">
      <c r="A156">
        <v>154</v>
      </c>
      <c r="B156" t="s">
        <v>363</v>
      </c>
      <c r="C156" t="s">
        <v>363</v>
      </c>
    </row>
    <row r="157" spans="1:3" x14ac:dyDescent="0.25">
      <c r="A157">
        <v>155</v>
      </c>
      <c r="B157" t="s">
        <v>365</v>
      </c>
      <c r="C157" t="s">
        <v>365</v>
      </c>
    </row>
    <row r="158" spans="1:3" x14ac:dyDescent="0.25">
      <c r="A158">
        <v>156</v>
      </c>
      <c r="B158" t="s">
        <v>367</v>
      </c>
      <c r="C158" t="s">
        <v>367</v>
      </c>
    </row>
    <row r="159" spans="1:3" x14ac:dyDescent="0.25">
      <c r="A159">
        <v>157</v>
      </c>
      <c r="B159" t="s">
        <v>369</v>
      </c>
      <c r="C159" t="s">
        <v>369</v>
      </c>
    </row>
    <row r="160" spans="1:3" x14ac:dyDescent="0.25">
      <c r="A160">
        <v>158</v>
      </c>
      <c r="B160" t="s">
        <v>371</v>
      </c>
      <c r="C160" t="s">
        <v>507</v>
      </c>
    </row>
    <row r="161" spans="1:3" x14ac:dyDescent="0.25">
      <c r="A161">
        <v>159</v>
      </c>
      <c r="B161" t="s">
        <v>373</v>
      </c>
      <c r="C161" t="s">
        <v>373</v>
      </c>
    </row>
    <row r="162" spans="1:3" x14ac:dyDescent="0.25">
      <c r="A162">
        <v>160</v>
      </c>
      <c r="B162" t="s">
        <v>375</v>
      </c>
      <c r="C162" t="s">
        <v>375</v>
      </c>
    </row>
    <row r="163" spans="1:3" x14ac:dyDescent="0.25">
      <c r="A163">
        <v>161</v>
      </c>
      <c r="B163" t="s">
        <v>377</v>
      </c>
      <c r="C163" t="s">
        <v>377</v>
      </c>
    </row>
    <row r="164" spans="1:3" x14ac:dyDescent="0.25">
      <c r="A164">
        <v>162</v>
      </c>
      <c r="B164" t="s">
        <v>379</v>
      </c>
      <c r="C164" t="s">
        <v>379</v>
      </c>
    </row>
    <row r="165" spans="1:3" x14ac:dyDescent="0.25">
      <c r="A165">
        <v>163</v>
      </c>
      <c r="B165" t="s">
        <v>381</v>
      </c>
      <c r="C165" t="s">
        <v>381</v>
      </c>
    </row>
    <row r="166" spans="1:3" x14ac:dyDescent="0.25">
      <c r="A166">
        <v>164</v>
      </c>
      <c r="B166" t="s">
        <v>383</v>
      </c>
      <c r="C166" t="s">
        <v>383</v>
      </c>
    </row>
    <row r="167" spans="1:3" x14ac:dyDescent="0.25">
      <c r="A167">
        <v>165</v>
      </c>
      <c r="B167" t="s">
        <v>385</v>
      </c>
      <c r="C167" t="s">
        <v>385</v>
      </c>
    </row>
    <row r="168" spans="1:3" x14ac:dyDescent="0.25">
      <c r="A168">
        <v>166</v>
      </c>
      <c r="B168" t="s">
        <v>387</v>
      </c>
      <c r="C168" t="s">
        <v>387</v>
      </c>
    </row>
    <row r="169" spans="1:3" x14ac:dyDescent="0.25">
      <c r="A169">
        <v>167</v>
      </c>
      <c r="B169" t="s">
        <v>389</v>
      </c>
      <c r="C169" t="s">
        <v>389</v>
      </c>
    </row>
    <row r="170" spans="1:3" x14ac:dyDescent="0.25">
      <c r="A170">
        <v>168</v>
      </c>
      <c r="B170" t="s">
        <v>391</v>
      </c>
      <c r="C170" t="s">
        <v>391</v>
      </c>
    </row>
    <row r="171" spans="1:3" x14ac:dyDescent="0.25">
      <c r="A171">
        <v>169</v>
      </c>
      <c r="B171" t="s">
        <v>393</v>
      </c>
      <c r="C171" t="s">
        <v>393</v>
      </c>
    </row>
    <row r="172" spans="1:3" x14ac:dyDescent="0.25">
      <c r="A172">
        <v>170</v>
      </c>
      <c r="B172" t="s">
        <v>395</v>
      </c>
      <c r="C172" t="s">
        <v>395</v>
      </c>
    </row>
    <row r="173" spans="1:3" x14ac:dyDescent="0.25">
      <c r="A173">
        <v>171</v>
      </c>
      <c r="B173" t="s">
        <v>397</v>
      </c>
      <c r="C173" t="s">
        <v>397</v>
      </c>
    </row>
    <row r="174" spans="1:3" x14ac:dyDescent="0.25">
      <c r="A174">
        <v>172</v>
      </c>
      <c r="B174" t="s">
        <v>399</v>
      </c>
      <c r="C174" t="s">
        <v>399</v>
      </c>
    </row>
    <row r="175" spans="1:3" x14ac:dyDescent="0.25">
      <c r="A175">
        <v>173</v>
      </c>
      <c r="B175" t="s">
        <v>401</v>
      </c>
      <c r="C175" t="s">
        <v>129</v>
      </c>
    </row>
    <row r="176" spans="1:3" x14ac:dyDescent="0.25">
      <c r="A176">
        <v>174</v>
      </c>
      <c r="B176" t="s">
        <v>403</v>
      </c>
      <c r="C176" t="s">
        <v>403</v>
      </c>
    </row>
    <row r="177" spans="1:3" x14ac:dyDescent="0.25">
      <c r="A177">
        <v>175</v>
      </c>
      <c r="B177" t="s">
        <v>405</v>
      </c>
      <c r="C177" t="s">
        <v>405</v>
      </c>
    </row>
    <row r="178" spans="1:3" x14ac:dyDescent="0.25">
      <c r="A178">
        <v>176</v>
      </c>
      <c r="B178" t="s">
        <v>407</v>
      </c>
      <c r="C178" t="s">
        <v>299</v>
      </c>
    </row>
    <row r="179" spans="1:3" x14ac:dyDescent="0.25">
      <c r="A179">
        <v>177</v>
      </c>
      <c r="B179" t="s">
        <v>409</v>
      </c>
      <c r="C179" t="s">
        <v>409</v>
      </c>
    </row>
    <row r="180" spans="1:3" x14ac:dyDescent="0.25">
      <c r="A180">
        <v>178</v>
      </c>
      <c r="B180" t="s">
        <v>411</v>
      </c>
      <c r="C180" t="s">
        <v>411</v>
      </c>
    </row>
    <row r="181" spans="1:3" x14ac:dyDescent="0.25">
      <c r="A181">
        <v>179</v>
      </c>
      <c r="B181" t="s">
        <v>413</v>
      </c>
      <c r="C181" t="s">
        <v>413</v>
      </c>
    </row>
    <row r="182" spans="1:3" x14ac:dyDescent="0.25">
      <c r="A182">
        <v>180</v>
      </c>
      <c r="B182" t="s">
        <v>415</v>
      </c>
      <c r="C182" t="s">
        <v>415</v>
      </c>
    </row>
    <row r="183" spans="1:3" x14ac:dyDescent="0.25">
      <c r="A183">
        <v>181</v>
      </c>
      <c r="B183" t="s">
        <v>417</v>
      </c>
      <c r="C183" t="s">
        <v>508</v>
      </c>
    </row>
    <row r="184" spans="1:3" x14ac:dyDescent="0.25">
      <c r="A184">
        <v>182</v>
      </c>
      <c r="B184" t="s">
        <v>419</v>
      </c>
      <c r="C184" t="s">
        <v>509</v>
      </c>
    </row>
    <row r="185" spans="1:3" x14ac:dyDescent="0.25">
      <c r="A185">
        <v>183</v>
      </c>
      <c r="B185" t="s">
        <v>421</v>
      </c>
      <c r="C185" t="s">
        <v>510</v>
      </c>
    </row>
    <row r="186" spans="1:3" x14ac:dyDescent="0.25">
      <c r="A186">
        <v>184</v>
      </c>
      <c r="B186" t="s">
        <v>423</v>
      </c>
      <c r="C186" t="s">
        <v>511</v>
      </c>
    </row>
    <row r="187" spans="1:3" x14ac:dyDescent="0.25">
      <c r="A187">
        <v>185</v>
      </c>
      <c r="B187" t="s">
        <v>425</v>
      </c>
      <c r="C187" t="s">
        <v>425</v>
      </c>
    </row>
    <row r="188" spans="1:3" x14ac:dyDescent="0.25">
      <c r="A188">
        <v>186</v>
      </c>
      <c r="B188" t="s">
        <v>427</v>
      </c>
      <c r="C188" t="s">
        <v>427</v>
      </c>
    </row>
    <row r="189" spans="1:3" x14ac:dyDescent="0.25">
      <c r="A189">
        <v>187</v>
      </c>
      <c r="B189" t="s">
        <v>429</v>
      </c>
      <c r="C189" t="s">
        <v>429</v>
      </c>
    </row>
    <row r="190" spans="1:3" x14ac:dyDescent="0.25">
      <c r="A190">
        <v>188</v>
      </c>
      <c r="B190" t="s">
        <v>431</v>
      </c>
      <c r="C190" t="s">
        <v>431</v>
      </c>
    </row>
    <row r="191" spans="1:3" x14ac:dyDescent="0.25">
      <c r="A191">
        <v>189</v>
      </c>
      <c r="B191" t="s">
        <v>433</v>
      </c>
      <c r="C191" t="s">
        <v>433</v>
      </c>
    </row>
    <row r="192" spans="1:3" x14ac:dyDescent="0.25">
      <c r="A192">
        <v>190</v>
      </c>
      <c r="B192" t="s">
        <v>435</v>
      </c>
      <c r="C192" t="s">
        <v>435</v>
      </c>
    </row>
    <row r="193" spans="1:3" x14ac:dyDescent="0.25">
      <c r="A193">
        <v>191</v>
      </c>
      <c r="B193" t="s">
        <v>437</v>
      </c>
      <c r="C193" t="s">
        <v>512</v>
      </c>
    </row>
    <row r="194" spans="1:3" x14ac:dyDescent="0.25">
      <c r="A194">
        <v>192</v>
      </c>
      <c r="B194" t="s">
        <v>439</v>
      </c>
      <c r="C194" t="s">
        <v>439</v>
      </c>
    </row>
    <row r="195" spans="1:3" x14ac:dyDescent="0.25">
      <c r="A195">
        <v>193</v>
      </c>
      <c r="B195" t="s">
        <v>441</v>
      </c>
      <c r="C195" t="s">
        <v>441</v>
      </c>
    </row>
    <row r="196" spans="1:3" x14ac:dyDescent="0.25">
      <c r="A196">
        <v>194</v>
      </c>
      <c r="B196" t="s">
        <v>443</v>
      </c>
      <c r="C196" t="s">
        <v>443</v>
      </c>
    </row>
    <row r="197" spans="1:3" x14ac:dyDescent="0.25">
      <c r="A197">
        <v>195</v>
      </c>
      <c r="B197" t="s">
        <v>445</v>
      </c>
      <c r="C197" t="s">
        <v>445</v>
      </c>
    </row>
    <row r="198" spans="1:3" x14ac:dyDescent="0.25">
      <c r="A198">
        <v>196</v>
      </c>
      <c r="B198" t="s">
        <v>447</v>
      </c>
      <c r="C198" t="s">
        <v>447</v>
      </c>
    </row>
    <row r="199" spans="1:3" x14ac:dyDescent="0.25">
      <c r="A199">
        <v>197</v>
      </c>
      <c r="B199" t="s">
        <v>449</v>
      </c>
      <c r="C199" t="s">
        <v>449</v>
      </c>
    </row>
    <row r="200" spans="1:3" x14ac:dyDescent="0.25">
      <c r="A200">
        <v>198</v>
      </c>
      <c r="B200" t="s">
        <v>451</v>
      </c>
      <c r="C200" t="s">
        <v>513</v>
      </c>
    </row>
    <row r="201" spans="1:3" x14ac:dyDescent="0.25">
      <c r="A201">
        <v>199</v>
      </c>
      <c r="B201" t="s">
        <v>453</v>
      </c>
      <c r="C201" t="s">
        <v>453</v>
      </c>
    </row>
    <row r="202" spans="1:3" x14ac:dyDescent="0.25">
      <c r="A202">
        <v>200</v>
      </c>
      <c r="B202" t="s">
        <v>455</v>
      </c>
      <c r="C202" t="s">
        <v>455</v>
      </c>
    </row>
    <row r="203" spans="1:3" x14ac:dyDescent="0.25">
      <c r="A203">
        <v>201</v>
      </c>
      <c r="B203" t="s">
        <v>457</v>
      </c>
      <c r="C203" t="s">
        <v>457</v>
      </c>
    </row>
    <row r="204" spans="1:3" x14ac:dyDescent="0.25">
      <c r="A204">
        <v>202</v>
      </c>
      <c r="B204" t="s">
        <v>459</v>
      </c>
      <c r="C204" t="s">
        <v>459</v>
      </c>
    </row>
    <row r="205" spans="1:3" x14ac:dyDescent="0.25">
      <c r="A205">
        <v>203</v>
      </c>
      <c r="B205" t="s">
        <v>461</v>
      </c>
      <c r="C205" t="s">
        <v>461</v>
      </c>
    </row>
    <row r="206" spans="1:3" x14ac:dyDescent="0.25">
      <c r="A206">
        <v>204</v>
      </c>
      <c r="B206" t="s">
        <v>463</v>
      </c>
      <c r="C206" t="s">
        <v>463</v>
      </c>
    </row>
    <row r="207" spans="1:3" x14ac:dyDescent="0.25">
      <c r="A207">
        <v>205</v>
      </c>
      <c r="B207" t="s">
        <v>465</v>
      </c>
      <c r="C207" t="s">
        <v>514</v>
      </c>
    </row>
    <row r="208" spans="1:3" x14ac:dyDescent="0.25">
      <c r="A208">
        <v>206</v>
      </c>
      <c r="B208" t="s">
        <v>467</v>
      </c>
      <c r="C208" t="s">
        <v>515</v>
      </c>
    </row>
    <row r="209" spans="1:3" x14ac:dyDescent="0.25">
      <c r="A209">
        <v>207</v>
      </c>
      <c r="B209" t="s">
        <v>469</v>
      </c>
      <c r="C209" t="s">
        <v>469</v>
      </c>
    </row>
    <row r="210" spans="1:3" x14ac:dyDescent="0.25">
      <c r="A210">
        <v>208</v>
      </c>
      <c r="B210" t="s">
        <v>471</v>
      </c>
      <c r="C210" t="s">
        <v>471</v>
      </c>
    </row>
    <row r="211" spans="1:3" x14ac:dyDescent="0.25">
      <c r="A211">
        <v>209</v>
      </c>
      <c r="B211" t="s">
        <v>473</v>
      </c>
      <c r="C211" t="s">
        <v>473</v>
      </c>
    </row>
    <row r="212" spans="1:3" x14ac:dyDescent="0.25">
      <c r="A212">
        <v>210</v>
      </c>
      <c r="B212" t="s">
        <v>475</v>
      </c>
      <c r="C212" t="s">
        <v>516</v>
      </c>
    </row>
    <row r="213" spans="1:3" x14ac:dyDescent="0.25">
      <c r="A213">
        <v>211</v>
      </c>
      <c r="B213" t="s">
        <v>477</v>
      </c>
      <c r="C213" t="s">
        <v>477</v>
      </c>
    </row>
    <row r="214" spans="1:3" x14ac:dyDescent="0.25">
      <c r="A214">
        <v>212</v>
      </c>
      <c r="B214" t="s">
        <v>479</v>
      </c>
      <c r="C214" t="s">
        <v>479</v>
      </c>
    </row>
    <row r="215" spans="1:3" x14ac:dyDescent="0.25">
      <c r="A215">
        <v>213</v>
      </c>
      <c r="B215" t="s">
        <v>481</v>
      </c>
      <c r="C215" t="s">
        <v>517</v>
      </c>
    </row>
    <row r="216" spans="1:3" x14ac:dyDescent="0.25">
      <c r="A216">
        <v>214</v>
      </c>
      <c r="B216" t="s">
        <v>483</v>
      </c>
      <c r="C216" t="s">
        <v>518</v>
      </c>
    </row>
    <row r="217" spans="1:3" x14ac:dyDescent="0.25">
      <c r="A217">
        <v>215</v>
      </c>
      <c r="B217" t="s">
        <v>485</v>
      </c>
      <c r="C217" t="s">
        <v>485</v>
      </c>
    </row>
    <row r="218" spans="1:3" x14ac:dyDescent="0.25">
      <c r="A218">
        <v>216</v>
      </c>
      <c r="B218" t="s">
        <v>487</v>
      </c>
      <c r="C218" t="s">
        <v>487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AF68-B8DE-48AE-9402-988307EFA298}">
  <dimension ref="A1:I218"/>
  <sheetViews>
    <sheetView tabSelected="1" workbookViewId="0">
      <selection activeCell="L4" sqref="L4"/>
    </sheetView>
  </sheetViews>
  <sheetFormatPr defaultRowHeight="15" x14ac:dyDescent="0.25"/>
  <cols>
    <col min="4" max="9" width="24.28515625" customWidth="1"/>
  </cols>
  <sheetData>
    <row r="1" spans="1:9" x14ac:dyDescent="0.25">
      <c r="A1" s="1" t="s">
        <v>1133</v>
      </c>
      <c r="B1" s="1" t="s">
        <v>1131</v>
      </c>
      <c r="C1" s="1" t="s">
        <v>1132</v>
      </c>
      <c r="D1" t="s">
        <v>5</v>
      </c>
      <c r="E1" t="s">
        <v>7</v>
      </c>
      <c r="F1" t="s">
        <v>14</v>
      </c>
      <c r="G1" t="s">
        <v>30</v>
      </c>
      <c r="H1" t="s">
        <v>41</v>
      </c>
      <c r="I1" t="s">
        <v>51</v>
      </c>
    </row>
    <row r="2" spans="1:9" x14ac:dyDescent="0.25">
      <c r="A2" s="2" t="s">
        <v>55</v>
      </c>
      <c r="B2" s="3" t="s">
        <v>55</v>
      </c>
      <c r="C2" t="str">
        <f>_xlfn.XLOOKUP(B2,'regions'!A:A,'regions'!F:F)</f>
        <v>Asia</v>
      </c>
      <c r="D2">
        <v>40578842</v>
      </c>
      <c r="E2">
        <v>652860</v>
      </c>
      <c r="F2">
        <v>65.617000000000004</v>
      </c>
      <c r="G2">
        <v>14497243872.133739</v>
      </c>
      <c r="H2">
        <v>56.265500000000003</v>
      </c>
      <c r="I2">
        <v>357.26115279814388</v>
      </c>
    </row>
    <row r="3" spans="1:9" x14ac:dyDescent="0.25">
      <c r="A3" s="4" t="s">
        <v>57</v>
      </c>
      <c r="B3" s="5" t="s">
        <v>57</v>
      </c>
      <c r="C3" t="str">
        <f>_xlfn.XLOOKUP(B3,'regions'!A:A,'regions'!F:F)</f>
        <v>Europe</v>
      </c>
      <c r="D3">
        <v>2451636</v>
      </c>
      <c r="E3">
        <v>28750</v>
      </c>
      <c r="F3">
        <v>78.769000000000005</v>
      </c>
      <c r="G3">
        <v>19017247013.882061</v>
      </c>
      <c r="H3">
        <v>98.394999999999996</v>
      </c>
      <c r="I3">
        <v>7756.9618874425323</v>
      </c>
    </row>
    <row r="4" spans="1:9" x14ac:dyDescent="0.25">
      <c r="A4" s="2" t="s">
        <v>59</v>
      </c>
      <c r="B4" s="3" t="s">
        <v>59</v>
      </c>
      <c r="C4" t="str">
        <f>_xlfn.XLOOKUP(B4,'regions'!A:A,'regions'!F:F)</f>
        <v>Africa</v>
      </c>
      <c r="D4">
        <v>45477389</v>
      </c>
      <c r="E4">
        <v>2381740</v>
      </c>
      <c r="F4">
        <v>76.129000000000005</v>
      </c>
      <c r="G4">
        <v>225581644702.56781</v>
      </c>
      <c r="H4">
        <v>107.78700000000001</v>
      </c>
      <c r="I4">
        <v>4960.3033433288756</v>
      </c>
    </row>
    <row r="5" spans="1:9" x14ac:dyDescent="0.25">
      <c r="A5" s="4" t="s">
        <v>61</v>
      </c>
      <c r="B5" s="5" t="s">
        <v>61</v>
      </c>
      <c r="C5" t="str">
        <f>_xlfn.XLOOKUP(B5,'regions'!A:A,'regions'!F:F)</f>
        <v>Oceania</v>
      </c>
      <c r="D5">
        <v>48342</v>
      </c>
      <c r="E5">
        <v>200</v>
      </c>
      <c r="F5">
        <v>72.751999999999995</v>
      </c>
      <c r="G5">
        <v>871000000</v>
      </c>
      <c r="I5">
        <v>18017.458938397252</v>
      </c>
    </row>
    <row r="6" spans="1:9" x14ac:dyDescent="0.25">
      <c r="A6" s="2" t="s">
        <v>63</v>
      </c>
      <c r="B6" s="3" t="s">
        <v>63</v>
      </c>
      <c r="C6" t="str">
        <f>_xlfn.XLOOKUP(B6,'regions'!A:A,'regions'!F:F)</f>
        <v>Europe</v>
      </c>
      <c r="D6">
        <v>79705</v>
      </c>
      <c r="E6">
        <v>470</v>
      </c>
      <c r="F6">
        <v>84.016000000000005</v>
      </c>
      <c r="G6">
        <v>3380611694.7339158</v>
      </c>
      <c r="H6">
        <v>142.42599999999999</v>
      </c>
      <c r="I6">
        <v>42414.047986122772</v>
      </c>
    </row>
    <row r="7" spans="1:9" x14ac:dyDescent="0.25">
      <c r="A7" s="4" t="s">
        <v>65</v>
      </c>
      <c r="B7" s="5" t="s">
        <v>65</v>
      </c>
      <c r="C7" t="str">
        <f>_xlfn.XLOOKUP(B7,'regions'!A:A,'regions'!F:F)</f>
        <v>Africa</v>
      </c>
      <c r="D7">
        <v>35635029</v>
      </c>
      <c r="E7">
        <v>1246700</v>
      </c>
      <c r="F7">
        <v>64.245999999999995</v>
      </c>
      <c r="G7">
        <v>131212208930.3441</v>
      </c>
      <c r="H7">
        <v>66.600800000000007</v>
      </c>
      <c r="I7">
        <v>3682.1131513697969</v>
      </c>
    </row>
    <row r="8" spans="1:9" x14ac:dyDescent="0.25">
      <c r="A8" s="2" t="s">
        <v>67</v>
      </c>
      <c r="B8" s="3" t="s">
        <v>67</v>
      </c>
      <c r="C8" t="str">
        <f>_xlfn.XLOOKUP(B8,'regions'!A:A,'regions'!F:F)</f>
        <v>Americas</v>
      </c>
      <c r="D8">
        <v>92840</v>
      </c>
      <c r="E8">
        <v>440</v>
      </c>
      <c r="F8">
        <v>77.483000000000004</v>
      </c>
      <c r="G8">
        <v>1866566666.6666665</v>
      </c>
      <c r="H8">
        <v>200.541</v>
      </c>
      <c r="I8">
        <v>20105.198908516442</v>
      </c>
    </row>
    <row r="9" spans="1:9" x14ac:dyDescent="0.25">
      <c r="A9" s="4" t="s">
        <v>69</v>
      </c>
      <c r="B9" s="5" t="s">
        <v>69</v>
      </c>
      <c r="C9" t="str">
        <f>_xlfn.XLOOKUP(B9,'regions'!A:A,'regions'!F:F)</f>
        <v>Americas</v>
      </c>
      <c r="D9">
        <v>45407904</v>
      </c>
      <c r="E9">
        <v>2780400</v>
      </c>
      <c r="F9">
        <v>75.805999999999997</v>
      </c>
      <c r="G9">
        <v>633993756301.07983</v>
      </c>
      <c r="H9">
        <v>131.48400000000001</v>
      </c>
      <c r="I9">
        <v>13962.189408722319</v>
      </c>
    </row>
    <row r="10" spans="1:9" x14ac:dyDescent="0.25">
      <c r="A10" s="2" t="s">
        <v>71</v>
      </c>
      <c r="B10" s="3" t="s">
        <v>71</v>
      </c>
      <c r="C10" t="str">
        <f>_xlfn.XLOOKUP(B10,'regions'!A:A,'regions'!F:F)</f>
        <v>Asia</v>
      </c>
      <c r="D10">
        <v>2969200</v>
      </c>
      <c r="E10">
        <v>29740</v>
      </c>
      <c r="F10">
        <v>74.765853658536599</v>
      </c>
      <c r="G10">
        <v>19513506553.125072</v>
      </c>
      <c r="H10">
        <v>130.54</v>
      </c>
      <c r="I10">
        <v>6571.974455450988</v>
      </c>
    </row>
    <row r="11" spans="1:9" x14ac:dyDescent="0.25">
      <c r="A11" s="4" t="s">
        <v>73</v>
      </c>
      <c r="B11" s="5" t="s">
        <v>73</v>
      </c>
      <c r="C11" t="str">
        <f>_xlfn.XLOOKUP(B11,'regions'!A:A,'regions'!F:F)</f>
        <v>Americas</v>
      </c>
      <c r="D11">
        <v>107310</v>
      </c>
      <c r="E11">
        <v>180</v>
      </c>
      <c r="F11">
        <v>76.225999999999999</v>
      </c>
      <c r="G11">
        <v>3324034443.2658105</v>
      </c>
      <c r="H11">
        <v>130.648</v>
      </c>
      <c r="I11">
        <v>30975.9989121779</v>
      </c>
    </row>
    <row r="12" spans="1:9" x14ac:dyDescent="0.25">
      <c r="A12" s="2" t="s">
        <v>75</v>
      </c>
      <c r="B12" s="3" t="s">
        <v>75</v>
      </c>
      <c r="C12" t="str">
        <f>_xlfn.XLOOKUP(B12,'regions'!A:A,'regions'!F:F)</f>
        <v>Oceania</v>
      </c>
      <c r="D12">
        <v>26018721</v>
      </c>
      <c r="E12">
        <v>7741220</v>
      </c>
      <c r="F12">
        <v>83.2</v>
      </c>
      <c r="G12">
        <v>1695627535475.8005</v>
      </c>
      <c r="H12">
        <v>109.46899999999999</v>
      </c>
      <c r="I12">
        <v>65169.519111865666</v>
      </c>
    </row>
    <row r="13" spans="1:9" x14ac:dyDescent="0.25">
      <c r="A13" s="4" t="s">
        <v>77</v>
      </c>
      <c r="B13" s="5" t="s">
        <v>77</v>
      </c>
      <c r="C13" t="str">
        <f>_xlfn.XLOOKUP(B13,'regions'!A:A,'regions'!F:F)</f>
        <v>Europe</v>
      </c>
      <c r="D13">
        <v>9041851</v>
      </c>
      <c r="E13">
        <v>83879</v>
      </c>
      <c r="F13">
        <v>81.2951219512195</v>
      </c>
      <c r="G13">
        <v>473221298968.21582</v>
      </c>
      <c r="H13">
        <v>121.166</v>
      </c>
      <c r="I13">
        <v>52336.772522375766</v>
      </c>
    </row>
    <row r="14" spans="1:9" x14ac:dyDescent="0.25">
      <c r="A14" s="2" t="s">
        <v>79</v>
      </c>
      <c r="B14" s="3" t="s">
        <v>79</v>
      </c>
      <c r="C14" t="str">
        <f>_xlfn.XLOOKUP(B14,'regions'!A:A,'regions'!F:F)</f>
        <v>Asia</v>
      </c>
      <c r="D14">
        <v>10141756</v>
      </c>
      <c r="E14">
        <v>86600</v>
      </c>
      <c r="F14">
        <v>74.125</v>
      </c>
      <c r="G14">
        <v>78807470588.235306</v>
      </c>
      <c r="H14">
        <v>107.506</v>
      </c>
      <c r="I14">
        <v>7770.5942233509959</v>
      </c>
    </row>
    <row r="15" spans="1:9" x14ac:dyDescent="0.25">
      <c r="A15" s="4" t="s">
        <v>81</v>
      </c>
      <c r="B15" s="5" t="s">
        <v>491</v>
      </c>
      <c r="C15" t="str">
        <f>_xlfn.XLOOKUP(B15,'regions'!A:A,'regions'!F:F)</f>
        <v>Americas</v>
      </c>
      <c r="D15">
        <v>397538</v>
      </c>
      <c r="E15">
        <v>13880</v>
      </c>
      <c r="F15">
        <v>74.491</v>
      </c>
      <c r="G15">
        <v>13896800000</v>
      </c>
      <c r="H15">
        <v>101.624</v>
      </c>
      <c r="I15">
        <v>34957.161327973678</v>
      </c>
    </row>
    <row r="16" spans="1:9" x14ac:dyDescent="0.25">
      <c r="A16" s="2" t="s">
        <v>83</v>
      </c>
      <c r="B16" s="3" t="s">
        <v>83</v>
      </c>
      <c r="C16" t="str">
        <f>_xlfn.XLOOKUP(B16,'regions'!A:A,'regions'!F:F)</f>
        <v>Asia</v>
      </c>
      <c r="D16">
        <v>1524693</v>
      </c>
      <c r="E16">
        <v>790</v>
      </c>
      <c r="F16">
        <v>80.992000000000004</v>
      </c>
      <c r="G16">
        <v>46458191489.361702</v>
      </c>
      <c r="H16">
        <v>139.636</v>
      </c>
      <c r="I16">
        <v>30470.52192760228</v>
      </c>
    </row>
    <row r="17" spans="1:9" x14ac:dyDescent="0.25">
      <c r="A17" s="4" t="s">
        <v>85</v>
      </c>
      <c r="B17" s="5" t="s">
        <v>85</v>
      </c>
      <c r="C17" t="str">
        <f>_xlfn.XLOOKUP(B17,'regions'!A:A,'regions'!F:F)</f>
        <v>Asia</v>
      </c>
      <c r="D17">
        <v>169384897</v>
      </c>
      <c r="E17">
        <v>147570</v>
      </c>
      <c r="F17">
        <v>74.265000000000001</v>
      </c>
      <c r="G17">
        <v>460131689083.0827</v>
      </c>
      <c r="H17">
        <v>109.867</v>
      </c>
      <c r="I17">
        <v>2716.4859278043114</v>
      </c>
    </row>
    <row r="18" spans="1:9" x14ac:dyDescent="0.25">
      <c r="A18" s="2" t="s">
        <v>87</v>
      </c>
      <c r="B18" s="3" t="s">
        <v>87</v>
      </c>
      <c r="C18" t="str">
        <f>_xlfn.XLOOKUP(B18,'regions'!A:A,'regions'!F:F)</f>
        <v>Americas</v>
      </c>
      <c r="D18">
        <v>282318</v>
      </c>
      <c r="E18">
        <v>430</v>
      </c>
      <c r="F18">
        <v>75.676000000000002</v>
      </c>
      <c r="G18">
        <v>6884900000</v>
      </c>
      <c r="H18">
        <v>114.581</v>
      </c>
      <c r="I18">
        <v>24387.038729376094</v>
      </c>
    </row>
    <row r="19" spans="1:9" x14ac:dyDescent="0.25">
      <c r="A19" s="4" t="s">
        <v>89</v>
      </c>
      <c r="B19" s="5" t="s">
        <v>89</v>
      </c>
      <c r="C19" t="str">
        <f>_xlfn.XLOOKUP(B19,'regions'!A:A,'regions'!F:F)</f>
        <v>Europe</v>
      </c>
      <c r="D19">
        <v>9228071</v>
      </c>
      <c r="E19">
        <v>207630</v>
      </c>
      <c r="F19">
        <v>74.103365853658545</v>
      </c>
      <c r="G19">
        <v>73775179924.603027</v>
      </c>
      <c r="H19">
        <v>128.315</v>
      </c>
      <c r="I19">
        <v>7994.6480607488857</v>
      </c>
    </row>
    <row r="20" spans="1:9" x14ac:dyDescent="0.25">
      <c r="A20" s="2" t="s">
        <v>91</v>
      </c>
      <c r="B20" s="3" t="s">
        <v>91</v>
      </c>
      <c r="C20" t="str">
        <f>_xlfn.XLOOKUP(B20,'regions'!A:A,'regions'!F:F)</f>
        <v>Europe</v>
      </c>
      <c r="D20">
        <v>11680210</v>
      </c>
      <c r="E20">
        <v>30689</v>
      </c>
      <c r="F20">
        <v>81.748780487804893</v>
      </c>
      <c r="G20">
        <v>591085783326.26685</v>
      </c>
      <c r="H20">
        <v>101.68</v>
      </c>
      <c r="I20">
        <v>50605.749667708616</v>
      </c>
    </row>
    <row r="21" spans="1:9" x14ac:dyDescent="0.25">
      <c r="A21" s="4" t="s">
        <v>93</v>
      </c>
      <c r="B21" s="5" t="s">
        <v>93</v>
      </c>
      <c r="C21" t="str">
        <f>_xlfn.XLOOKUP(B21,'regions'!A:A,'regions'!F:F)</f>
        <v>Americas</v>
      </c>
      <c r="D21">
        <v>402733</v>
      </c>
      <c r="E21">
        <v>22970</v>
      </c>
      <c r="F21">
        <v>72.19</v>
      </c>
      <c r="G21">
        <v>2846604350</v>
      </c>
      <c r="H21">
        <v>67.174999999999997</v>
      </c>
      <c r="I21">
        <v>7068.2172804314523</v>
      </c>
    </row>
    <row r="22" spans="1:9" x14ac:dyDescent="0.25">
      <c r="A22" s="2" t="s">
        <v>95</v>
      </c>
      <c r="B22" s="3" t="s">
        <v>95</v>
      </c>
      <c r="C22" t="str">
        <f>_xlfn.XLOOKUP(B22,'regions'!A:A,'regions'!F:F)</f>
        <v>Africa</v>
      </c>
      <c r="D22">
        <v>13759501</v>
      </c>
      <c r="E22">
        <v>114760</v>
      </c>
      <c r="F22">
        <v>60.475000000000001</v>
      </c>
      <c r="G22">
        <v>17425405090.862</v>
      </c>
      <c r="H22">
        <v>105.745</v>
      </c>
      <c r="I22">
        <v>1266.4271103190442</v>
      </c>
    </row>
    <row r="23" spans="1:9" x14ac:dyDescent="0.25">
      <c r="A23" s="4" t="s">
        <v>97</v>
      </c>
      <c r="B23" s="5" t="s">
        <v>97</v>
      </c>
      <c r="C23" t="str">
        <f>_xlfn.XLOOKUP(B23,'regions'!A:A,'regions'!F:F)</f>
        <v>Americas</v>
      </c>
      <c r="D23">
        <v>64749</v>
      </c>
      <c r="E23">
        <v>4290</v>
      </c>
      <c r="F23">
        <v>82.061999999999998</v>
      </c>
      <c r="G23">
        <v>7874381000</v>
      </c>
      <c r="H23">
        <v>105.274</v>
      </c>
      <c r="I23">
        <v>121613.9399836291</v>
      </c>
    </row>
    <row r="24" spans="1:9" x14ac:dyDescent="0.25">
      <c r="A24" s="2" t="s">
        <v>99</v>
      </c>
      <c r="B24" s="3" t="s">
        <v>99</v>
      </c>
      <c r="C24" t="str">
        <f>_xlfn.XLOOKUP(B24,'regions'!A:A,'regions'!F:F)</f>
        <v>Asia</v>
      </c>
      <c r="D24">
        <v>780914</v>
      </c>
      <c r="E24">
        <v>38390</v>
      </c>
      <c r="F24">
        <v>72.754000000000005</v>
      </c>
      <c r="G24">
        <v>2898227743.7557607</v>
      </c>
      <c r="H24">
        <v>95.129800000000003</v>
      </c>
      <c r="I24">
        <v>3711.3276798159091</v>
      </c>
    </row>
    <row r="25" spans="1:9" x14ac:dyDescent="0.25">
      <c r="A25" s="4" t="s">
        <v>101</v>
      </c>
      <c r="B25" s="5" t="s">
        <v>492</v>
      </c>
      <c r="C25" t="str">
        <f>_xlfn.XLOOKUP(B25,'regions'!A:A,'regions'!F:F)</f>
        <v>Americas</v>
      </c>
      <c r="D25">
        <v>12077154</v>
      </c>
      <c r="E25">
        <v>1098580</v>
      </c>
      <c r="F25">
        <v>67.433999999999997</v>
      </c>
      <c r="G25">
        <v>50959081953.6903</v>
      </c>
      <c r="H25">
        <v>101.572</v>
      </c>
      <c r="I25">
        <v>4219.4611374244541</v>
      </c>
    </row>
    <row r="26" spans="1:9" x14ac:dyDescent="0.25">
      <c r="A26" s="2" t="s">
        <v>103</v>
      </c>
      <c r="B26" s="3" t="s">
        <v>103</v>
      </c>
      <c r="C26" t="str">
        <f>_xlfn.XLOOKUP(B26,'regions'!A:A,'regions'!F:F)</f>
        <v>Europe</v>
      </c>
      <c r="D26">
        <v>3204802</v>
      </c>
      <c r="E26">
        <v>51210</v>
      </c>
      <c r="F26">
        <v>76.777000000000001</v>
      </c>
      <c r="G26">
        <v>24534663636.177841</v>
      </c>
      <c r="H26">
        <v>118.944</v>
      </c>
      <c r="I26">
        <v>7655.5942102438285</v>
      </c>
    </row>
    <row r="27" spans="1:9" x14ac:dyDescent="0.25">
      <c r="A27" s="4" t="s">
        <v>105</v>
      </c>
      <c r="B27" s="5" t="s">
        <v>105</v>
      </c>
      <c r="C27" t="str">
        <f>_xlfn.XLOOKUP(B27,'regions'!A:A,'regions'!F:F)</f>
        <v>Africa</v>
      </c>
      <c r="D27">
        <v>2439892</v>
      </c>
      <c r="E27">
        <v>581730</v>
      </c>
      <c r="F27">
        <v>68.748999999999995</v>
      </c>
      <c r="G27">
        <v>20321150599.152321</v>
      </c>
      <c r="H27">
        <v>178.20500000000001</v>
      </c>
      <c r="I27">
        <v>8328.7090572666002</v>
      </c>
    </row>
    <row r="28" spans="1:9" x14ac:dyDescent="0.25">
      <c r="A28" s="2" t="s">
        <v>107</v>
      </c>
      <c r="B28" s="3" t="s">
        <v>107</v>
      </c>
      <c r="C28" t="str">
        <f>_xlfn.XLOOKUP(B28,'regions'!A:A,'regions'!F:F)</f>
        <v>Americas</v>
      </c>
      <c r="D28">
        <v>210306415</v>
      </c>
      <c r="E28">
        <v>8510420</v>
      </c>
      <c r="F28">
        <v>74.872</v>
      </c>
      <c r="G28">
        <v>1951923832083.8743</v>
      </c>
      <c r="H28">
        <v>101.245</v>
      </c>
      <c r="I28">
        <v>9281.3328213686418</v>
      </c>
    </row>
    <row r="29" spans="1:9" x14ac:dyDescent="0.25">
      <c r="A29" s="4" t="s">
        <v>109</v>
      </c>
      <c r="B29" s="5" t="s">
        <v>493</v>
      </c>
      <c r="C29" t="str">
        <f>_xlfn.XLOOKUP(B29,'regions'!A:A,'regions'!F:F)</f>
        <v>Americas</v>
      </c>
      <c r="D29">
        <v>38319</v>
      </c>
      <c r="E29">
        <v>150</v>
      </c>
      <c r="F29">
        <v>77.177000000000007</v>
      </c>
      <c r="H29">
        <v>92.891300000000001</v>
      </c>
    </row>
    <row r="30" spans="1:9" x14ac:dyDescent="0.25">
      <c r="A30" s="2" t="s">
        <v>111</v>
      </c>
      <c r="B30" s="3" t="s">
        <v>111</v>
      </c>
      <c r="C30" t="str">
        <f>_xlfn.XLOOKUP(B30,'regions'!A:A,'regions'!F:F)</f>
        <v>Asia</v>
      </c>
      <c r="D30">
        <v>455370</v>
      </c>
      <c r="E30">
        <v>5770</v>
      </c>
      <c r="F30">
        <v>72.917000000000002</v>
      </c>
      <c r="G30">
        <v>16681536466.7183</v>
      </c>
      <c r="H30">
        <v>116.108</v>
      </c>
      <c r="I30">
        <v>36632.928095215539</v>
      </c>
    </row>
    <row r="31" spans="1:9" x14ac:dyDescent="0.25">
      <c r="A31" s="4" t="s">
        <v>113</v>
      </c>
      <c r="B31" s="5" t="s">
        <v>113</v>
      </c>
      <c r="C31" t="str">
        <f>_xlfn.XLOOKUP(B31,'regions'!A:A,'regions'!F:F)</f>
        <v>Europe</v>
      </c>
      <c r="D31">
        <v>6465097</v>
      </c>
      <c r="E31">
        <v>111000</v>
      </c>
      <c r="F31">
        <v>74.160975609756107</v>
      </c>
      <c r="G31">
        <v>90506153293.673279</v>
      </c>
      <c r="H31">
        <v>116.679</v>
      </c>
      <c r="I31">
        <v>13999.194953095564</v>
      </c>
    </row>
    <row r="32" spans="1:9" x14ac:dyDescent="0.25">
      <c r="A32" s="2" t="s">
        <v>115</v>
      </c>
      <c r="B32" s="3" t="s">
        <v>115</v>
      </c>
      <c r="C32" t="str">
        <f>_xlfn.XLOOKUP(B32,'regions'!A:A,'regions'!F:F)</f>
        <v>Africa</v>
      </c>
      <c r="D32">
        <v>22509038</v>
      </c>
      <c r="E32">
        <v>274200</v>
      </c>
      <c r="F32">
        <v>60.7</v>
      </c>
      <c r="G32">
        <v>18622421394.613308</v>
      </c>
      <c r="H32">
        <v>119.46299999999999</v>
      </c>
      <c r="I32">
        <v>827.33084348666114</v>
      </c>
    </row>
    <row r="33" spans="1:9" x14ac:dyDescent="0.25">
      <c r="A33" s="4" t="s">
        <v>117</v>
      </c>
      <c r="B33" s="5" t="s">
        <v>117</v>
      </c>
      <c r="C33" t="str">
        <f>_xlfn.XLOOKUP(B33,'regions'!A:A,'regions'!F:F)</f>
        <v>Africa</v>
      </c>
      <c r="D33">
        <v>13321097</v>
      </c>
      <c r="E33">
        <v>27830</v>
      </c>
      <c r="F33">
        <v>62.881999999999998</v>
      </c>
      <c r="G33">
        <v>4036192552.8887916</v>
      </c>
      <c r="H33">
        <v>56.26</v>
      </c>
      <c r="I33">
        <v>302.99250526355235</v>
      </c>
    </row>
    <row r="34" spans="1:9" x14ac:dyDescent="0.25">
      <c r="A34" s="2" t="s">
        <v>119</v>
      </c>
      <c r="B34" s="3" t="s">
        <v>119</v>
      </c>
      <c r="C34" t="str">
        <f>_xlfn.XLOOKUP(B34,'regions'!A:A,'regions'!F:F)</f>
        <v>Africa</v>
      </c>
      <c r="D34">
        <v>519741</v>
      </c>
      <c r="E34">
        <v>4030</v>
      </c>
      <c r="F34">
        <v>75.906999999999996</v>
      </c>
      <c r="G34">
        <v>2247003344.3424206</v>
      </c>
      <c r="H34">
        <v>113.247</v>
      </c>
      <c r="I34">
        <v>4323.3136203270869</v>
      </c>
    </row>
    <row r="35" spans="1:9" x14ac:dyDescent="0.25">
      <c r="A35" s="4" t="s">
        <v>121</v>
      </c>
      <c r="B35" s="5" t="s">
        <v>121</v>
      </c>
      <c r="C35" t="str">
        <f>_xlfn.XLOOKUP(B35,'regions'!A:A,'regions'!F:F)</f>
        <v>Asia</v>
      </c>
      <c r="D35">
        <v>17201724</v>
      </c>
      <c r="E35">
        <v>181040</v>
      </c>
      <c r="F35">
        <v>70.528000000000006</v>
      </c>
      <c r="G35">
        <v>39994532959.607384</v>
      </c>
      <c r="H35">
        <v>113.392</v>
      </c>
      <c r="I35">
        <v>2325.0305004084116</v>
      </c>
    </row>
    <row r="36" spans="1:9" x14ac:dyDescent="0.25">
      <c r="A36" s="2" t="s">
        <v>123</v>
      </c>
      <c r="B36" s="3" t="s">
        <v>123</v>
      </c>
      <c r="C36" t="str">
        <f>_xlfn.XLOOKUP(B36,'regions'!A:A,'regions'!F:F)</f>
        <v>Africa</v>
      </c>
      <c r="D36">
        <v>27632771</v>
      </c>
      <c r="E36">
        <v>475440</v>
      </c>
      <c r="F36">
        <v>62.442999999999998</v>
      </c>
      <c r="G36">
        <v>44347206072.551331</v>
      </c>
      <c r="H36">
        <v>89.827399999999997</v>
      </c>
      <c r="I36">
        <v>1604.8772695489472</v>
      </c>
    </row>
    <row r="37" spans="1:9" x14ac:dyDescent="0.25">
      <c r="A37" s="4" t="s">
        <v>125</v>
      </c>
      <c r="B37" s="5" t="s">
        <v>125</v>
      </c>
      <c r="C37" t="str">
        <f>_xlfn.XLOOKUP(B37,'regions'!A:A,'regions'!F:F)</f>
        <v>Americas</v>
      </c>
      <c r="D37">
        <v>38935934</v>
      </c>
      <c r="E37">
        <v>15634410</v>
      </c>
      <c r="F37">
        <v>81.245365853658541</v>
      </c>
      <c r="G37">
        <v>2190411080134.3191</v>
      </c>
      <c r="H37">
        <v>91.238699999999994</v>
      </c>
      <c r="I37">
        <v>56256.800726401452</v>
      </c>
    </row>
    <row r="38" spans="1:9" x14ac:dyDescent="0.25">
      <c r="A38" s="2" t="s">
        <v>127</v>
      </c>
      <c r="B38" s="3" t="s">
        <v>127</v>
      </c>
      <c r="C38" t="str">
        <f>_xlfn.XLOOKUP(B38,'regions'!A:A,'regions'!F:F)</f>
        <v>Americas</v>
      </c>
      <c r="D38">
        <v>71591</v>
      </c>
      <c r="E38">
        <v>264</v>
      </c>
      <c r="F38">
        <v>79.983999999999995</v>
      </c>
      <c r="G38">
        <v>6660161212.019968</v>
      </c>
      <c r="H38">
        <v>139.315</v>
      </c>
      <c r="I38">
        <v>93030.705144780324</v>
      </c>
    </row>
    <row r="39" spans="1:9" x14ac:dyDescent="0.25">
      <c r="A39" s="4" t="s">
        <v>129</v>
      </c>
      <c r="B39" s="5" t="s">
        <v>129</v>
      </c>
      <c r="C39" t="str">
        <f>_xlfn.XLOOKUP(B39,'regions'!A:A,'regions'!F:F)</f>
        <v>Africa</v>
      </c>
      <c r="D39">
        <v>5098039</v>
      </c>
      <c r="E39">
        <v>622980</v>
      </c>
      <c r="F39">
        <v>18.818000000000001</v>
      </c>
      <c r="G39">
        <v>2382618615.0169392</v>
      </c>
      <c r="H39">
        <v>38.821800000000003</v>
      </c>
      <c r="I39">
        <v>467.35982502623835</v>
      </c>
    </row>
    <row r="40" spans="1:9" x14ac:dyDescent="0.25">
      <c r="A40" s="2" t="s">
        <v>131</v>
      </c>
      <c r="B40" s="3" t="s">
        <v>131</v>
      </c>
      <c r="C40" t="str">
        <f>_xlfn.XLOOKUP(B40,'regions'!A:A,'regions'!F:F)</f>
        <v>Africa</v>
      </c>
      <c r="D40">
        <v>18455316</v>
      </c>
      <c r="E40">
        <v>1284000</v>
      </c>
      <c r="F40">
        <v>54.527999999999999</v>
      </c>
      <c r="G40">
        <v>17828508289.604942</v>
      </c>
      <c r="H40">
        <v>65.437799999999996</v>
      </c>
      <c r="I40">
        <v>966.03646827856767</v>
      </c>
    </row>
    <row r="41" spans="1:9" x14ac:dyDescent="0.25">
      <c r="A41" s="4" t="s">
        <v>133</v>
      </c>
      <c r="B41" s="5" t="s">
        <v>494</v>
      </c>
      <c r="C41" t="str">
        <f>_xlfn.XLOOKUP(B41,'regions'!A:A,'regions'!F:F)</f>
        <v>Oceania</v>
      </c>
      <c r="D41">
        <v>167215</v>
      </c>
      <c r="F41">
        <v>81</v>
      </c>
      <c r="G41">
        <v>11308272505.183027</v>
      </c>
      <c r="I41">
        <v>67627.141734790697</v>
      </c>
    </row>
    <row r="42" spans="1:9" x14ac:dyDescent="0.25">
      <c r="A42" s="2" t="s">
        <v>135</v>
      </c>
      <c r="B42" s="3" t="s">
        <v>135</v>
      </c>
      <c r="C42" t="str">
        <f>_xlfn.XLOOKUP(B42,'regions'!A:A,'regions'!F:F)</f>
        <v>Americas</v>
      </c>
      <c r="D42">
        <v>19553036</v>
      </c>
      <c r="E42">
        <v>757244.88</v>
      </c>
      <c r="F42">
        <v>79.176000000000002</v>
      </c>
      <c r="G42">
        <v>301226575540.2417</v>
      </c>
      <c r="H42">
        <v>135.114</v>
      </c>
      <c r="I42">
        <v>15405.616577407298</v>
      </c>
    </row>
    <row r="43" spans="1:9" x14ac:dyDescent="0.25">
      <c r="A43" s="4" t="s">
        <v>137</v>
      </c>
      <c r="B43" s="5" t="s">
        <v>137</v>
      </c>
      <c r="C43" t="str">
        <f>_xlfn.XLOOKUP(B43,'regions'!A:A,'regions'!F:F)</f>
        <v>Asia</v>
      </c>
      <c r="D43">
        <v>1412175000</v>
      </c>
      <c r="E43">
        <v>9562910</v>
      </c>
      <c r="F43">
        <v>78.201999999999998</v>
      </c>
      <c r="G43">
        <v>18316765021690.156</v>
      </c>
      <c r="H43">
        <v>124.19499999999999</v>
      </c>
      <c r="I43">
        <v>12970.605641432652</v>
      </c>
    </row>
    <row r="44" spans="1:9" x14ac:dyDescent="0.25">
      <c r="A44" s="2" t="s">
        <v>139</v>
      </c>
      <c r="B44" s="3" t="s">
        <v>139</v>
      </c>
      <c r="C44" t="str">
        <f>_xlfn.XLOOKUP(B44,'regions'!A:A,'regions'!F:F)</f>
        <v>Americas</v>
      </c>
      <c r="D44">
        <v>51737944</v>
      </c>
      <c r="E44">
        <v>1140619.05</v>
      </c>
      <c r="F44">
        <v>76.507999999999996</v>
      </c>
      <c r="G44">
        <v>345632492851.44751</v>
      </c>
      <c r="H44">
        <v>156.19499999999999</v>
      </c>
      <c r="I44">
        <v>6680.4450685448091</v>
      </c>
    </row>
    <row r="45" spans="1:9" x14ac:dyDescent="0.25">
      <c r="A45" s="4" t="s">
        <v>141</v>
      </c>
      <c r="B45" s="5" t="s">
        <v>141</v>
      </c>
      <c r="C45" t="str">
        <f>_xlfn.XLOOKUP(B45,'regions'!A:A,'regions'!F:F)</f>
        <v>Africa</v>
      </c>
      <c r="D45">
        <v>834188</v>
      </c>
      <c r="E45">
        <v>1861</v>
      </c>
      <c r="F45">
        <v>66.480999999999995</v>
      </c>
      <c r="G45">
        <v>1222485532.3197627</v>
      </c>
      <c r="H45">
        <v>100.54900000000001</v>
      </c>
      <c r="I45">
        <v>1465.4796428619959</v>
      </c>
    </row>
    <row r="46" spans="1:9" x14ac:dyDescent="0.25">
      <c r="A46" s="2" t="s">
        <v>143</v>
      </c>
      <c r="B46" s="3" t="s">
        <v>495</v>
      </c>
      <c r="C46" t="str">
        <f>_xlfn.XLOOKUP(B46,'regions'!A:A,'regions'!F:F)</f>
        <v>Africa</v>
      </c>
      <c r="D46">
        <v>102396968</v>
      </c>
      <c r="E46">
        <v>2344860</v>
      </c>
      <c r="F46">
        <v>60.978999999999999</v>
      </c>
      <c r="G46">
        <v>70422346142.202286</v>
      </c>
      <c r="H46">
        <v>48.677399999999999</v>
      </c>
      <c r="I46">
        <v>687.73858755468507</v>
      </c>
    </row>
    <row r="47" spans="1:9" x14ac:dyDescent="0.25">
      <c r="A47" s="4" t="s">
        <v>145</v>
      </c>
      <c r="B47" s="5" t="s">
        <v>495</v>
      </c>
      <c r="C47" t="str">
        <f>_xlfn.XLOOKUP(B47,'regions'!A:A,'regions'!F:F)</f>
        <v>Africa</v>
      </c>
      <c r="D47">
        <v>6035104</v>
      </c>
      <c r="E47">
        <v>342000</v>
      </c>
      <c r="F47">
        <v>65</v>
      </c>
      <c r="G47">
        <v>15817030154.694141</v>
      </c>
      <c r="H47">
        <v>93.625900000000001</v>
      </c>
      <c r="I47">
        <v>2620.8380426740187</v>
      </c>
    </row>
    <row r="48" spans="1:9" x14ac:dyDescent="0.25">
      <c r="A48" s="2" t="s">
        <v>147</v>
      </c>
      <c r="B48" s="3" t="s">
        <v>147</v>
      </c>
      <c r="C48" t="str">
        <f>_xlfn.XLOOKUP(B48,'regions'!A:A,'regions'!F:F)</f>
        <v>Americas</v>
      </c>
      <c r="D48">
        <v>5081765</v>
      </c>
      <c r="E48">
        <v>51100</v>
      </c>
      <c r="F48">
        <v>79.316000000000003</v>
      </c>
      <c r="G48">
        <v>69243626028.593582</v>
      </c>
      <c r="H48">
        <v>154.989</v>
      </c>
      <c r="I48">
        <v>13625.900849132848</v>
      </c>
    </row>
    <row r="49" spans="1:9" x14ac:dyDescent="0.25">
      <c r="A49" s="4" t="s">
        <v>149</v>
      </c>
      <c r="B49" s="5" t="s">
        <v>496</v>
      </c>
      <c r="C49" t="str">
        <f>_xlfn.XLOOKUP(B49,'regions'!A:A,'regions'!F:F)</f>
        <v>Africa</v>
      </c>
      <c r="D49">
        <v>30395002</v>
      </c>
      <c r="E49">
        <v>322460</v>
      </c>
      <c r="F49">
        <v>61.561999999999998</v>
      </c>
      <c r="G49">
        <v>70922824813.910202</v>
      </c>
      <c r="H49">
        <v>161.232</v>
      </c>
      <c r="I49">
        <v>2333.3712830125887</v>
      </c>
    </row>
    <row r="50" spans="1:9" x14ac:dyDescent="0.25">
      <c r="A50" s="2" t="s">
        <v>151</v>
      </c>
      <c r="B50" s="3" t="s">
        <v>151</v>
      </c>
      <c r="C50" t="str">
        <f>_xlfn.XLOOKUP(B50,'regions'!A:A,'regions'!F:F)</f>
        <v>Europe</v>
      </c>
      <c r="D50">
        <v>3855641</v>
      </c>
      <c r="E50">
        <v>88070</v>
      </c>
      <c r="F50">
        <v>77.575609756097563</v>
      </c>
      <c r="G50">
        <v>71196498671.114548</v>
      </c>
      <c r="H50">
        <v>114.67700000000001</v>
      </c>
      <c r="I50">
        <v>18465.54144203637</v>
      </c>
    </row>
    <row r="51" spans="1:9" x14ac:dyDescent="0.25">
      <c r="A51" s="4" t="s">
        <v>153</v>
      </c>
      <c r="B51" s="5" t="s">
        <v>153</v>
      </c>
      <c r="C51" t="str">
        <f>_xlfn.XLOOKUP(B51,'regions'!A:A,'regions'!F:F)</f>
        <v>Americas</v>
      </c>
      <c r="D51">
        <v>11059820</v>
      </c>
      <c r="E51">
        <v>109880</v>
      </c>
      <c r="F51">
        <v>77.629000000000005</v>
      </c>
      <c r="H51">
        <v>68.718000000000004</v>
      </c>
    </row>
    <row r="52" spans="1:9" x14ac:dyDescent="0.25">
      <c r="A52" s="2" t="s">
        <v>155</v>
      </c>
      <c r="B52" s="3" t="s">
        <v>497</v>
      </c>
      <c r="C52" t="str">
        <f>_xlfn.XLOOKUP(B52,'regions'!A:A,'regions'!F:F)</f>
        <v>Americas</v>
      </c>
      <c r="D52">
        <v>153321</v>
      </c>
      <c r="E52">
        <v>444</v>
      </c>
      <c r="F52">
        <v>76.728999999999999</v>
      </c>
      <c r="G52">
        <v>3075180834.7241673</v>
      </c>
      <c r="H52">
        <v>92.732500000000002</v>
      </c>
      <c r="I52">
        <v>20057.140474717537</v>
      </c>
    </row>
    <row r="53" spans="1:9" x14ac:dyDescent="0.25">
      <c r="A53" s="4" t="s">
        <v>157</v>
      </c>
      <c r="B53" s="5" t="s">
        <v>157</v>
      </c>
      <c r="C53" t="str">
        <f>_xlfn.XLOOKUP(B53,'regions'!A:A,'regions'!F:F)</f>
        <v>Asia</v>
      </c>
      <c r="D53">
        <v>1331370</v>
      </c>
      <c r="E53">
        <v>9250</v>
      </c>
      <c r="F53">
        <v>80.433999999999997</v>
      </c>
      <c r="G53">
        <v>31218038929.091934</v>
      </c>
      <c r="H53">
        <v>151.24100000000001</v>
      </c>
      <c r="I53">
        <v>33231.04296875</v>
      </c>
    </row>
    <row r="54" spans="1:9" x14ac:dyDescent="0.25">
      <c r="A54" s="2" t="s">
        <v>159</v>
      </c>
      <c r="B54" s="3" t="s">
        <v>159</v>
      </c>
      <c r="C54" t="str">
        <f>_xlfn.XLOOKUP(B54,'regions'!A:A,'regions'!F:F)</f>
        <v>Europe</v>
      </c>
      <c r="D54">
        <v>10672118</v>
      </c>
      <c r="E54">
        <v>78871.47</v>
      </c>
      <c r="F54">
        <v>78.929268292682934</v>
      </c>
      <c r="G54">
        <v>301831228325.55554</v>
      </c>
      <c r="H54">
        <v>128.10499999999999</v>
      </c>
      <c r="I54">
        <v>28282.223671585671</v>
      </c>
    </row>
    <row r="55" spans="1:9" x14ac:dyDescent="0.25">
      <c r="A55" s="4" t="s">
        <v>161</v>
      </c>
      <c r="B55" s="5" t="s">
        <v>161</v>
      </c>
      <c r="C55" t="str">
        <f>_xlfn.XLOOKUP(B55,'regions'!A:A,'regions'!F:F)</f>
        <v>Europe</v>
      </c>
      <c r="D55">
        <v>5903037</v>
      </c>
      <c r="E55">
        <v>42920</v>
      </c>
      <c r="F55">
        <v>81.304878048780495</v>
      </c>
      <c r="G55">
        <v>400114306337.0766</v>
      </c>
      <c r="H55">
        <v>126.48399999999999</v>
      </c>
      <c r="I55">
        <v>67781.094093951397</v>
      </c>
    </row>
    <row r="56" spans="1:9" x14ac:dyDescent="0.25">
      <c r="A56" s="2" t="s">
        <v>163</v>
      </c>
      <c r="B56" s="3" t="s">
        <v>163</v>
      </c>
      <c r="C56" t="str">
        <f>_xlfn.XLOOKUP(B56,'regions'!A:A,'regions'!F:F)</f>
        <v>Africa</v>
      </c>
      <c r="D56">
        <v>1137096</v>
      </c>
      <c r="E56">
        <v>23200</v>
      </c>
      <c r="F56">
        <v>65.540000000000006</v>
      </c>
      <c r="G56">
        <v>3562814908.7614856</v>
      </c>
      <c r="H56">
        <v>46.777099999999997</v>
      </c>
      <c r="I56">
        <v>3133.2577977246297</v>
      </c>
    </row>
    <row r="57" spans="1:9" x14ac:dyDescent="0.25">
      <c r="A57" s="4" t="s">
        <v>165</v>
      </c>
      <c r="B57" s="5" t="s">
        <v>165</v>
      </c>
      <c r="C57" t="str">
        <f>_xlfn.XLOOKUP(B57,'regions'!A:A,'regions'!F:F)</f>
        <v>Americas</v>
      </c>
      <c r="D57">
        <v>66826</v>
      </c>
      <c r="E57">
        <v>750</v>
      </c>
      <c r="F57">
        <v>71.081000000000003</v>
      </c>
      <c r="G57">
        <v>623062962.96296287</v>
      </c>
      <c r="H57">
        <v>85.189899999999994</v>
      </c>
      <c r="I57">
        <v>9323.660894905619</v>
      </c>
    </row>
    <row r="58" spans="1:9" x14ac:dyDescent="0.25">
      <c r="A58" s="2" t="s">
        <v>167</v>
      </c>
      <c r="B58" s="3" t="s">
        <v>167</v>
      </c>
      <c r="C58" t="str">
        <f>_xlfn.XLOOKUP(B58,'regions'!A:A,'regions'!F:F)</f>
        <v>Americas</v>
      </c>
      <c r="D58">
        <v>11230734</v>
      </c>
      <c r="E58">
        <v>146839.46300000002</v>
      </c>
      <c r="F58">
        <v>74.210999999999999</v>
      </c>
      <c r="G58">
        <v>113478087134.79988</v>
      </c>
      <c r="H58">
        <v>90.376000000000005</v>
      </c>
      <c r="I58">
        <v>10104.244934908073</v>
      </c>
    </row>
    <row r="59" spans="1:9" x14ac:dyDescent="0.25">
      <c r="A59" s="4" t="s">
        <v>169</v>
      </c>
      <c r="B59" s="5" t="s">
        <v>169</v>
      </c>
      <c r="C59" t="str">
        <f>_xlfn.XLOOKUP(B59,'regions'!A:A,'regions'!F:F)</f>
        <v>Americas</v>
      </c>
      <c r="D59">
        <v>17823897</v>
      </c>
      <c r="E59">
        <v>256370</v>
      </c>
      <c r="F59">
        <v>76.576999999999998</v>
      </c>
      <c r="G59">
        <v>116133121000</v>
      </c>
      <c r="H59">
        <v>98.130899999999997</v>
      </c>
      <c r="I59">
        <v>6515.5852841833639</v>
      </c>
    </row>
    <row r="60" spans="1:9" x14ac:dyDescent="0.25">
      <c r="A60" s="2" t="s">
        <v>171</v>
      </c>
      <c r="B60" s="3" t="s">
        <v>498</v>
      </c>
      <c r="C60" t="str">
        <f>_xlfn.XLOOKUP(B60,'regions'!A:A,'regions'!F:F)</f>
        <v>Africa</v>
      </c>
      <c r="D60">
        <v>112618250</v>
      </c>
      <c r="E60">
        <v>1001450</v>
      </c>
      <c r="F60">
        <v>71.010000000000005</v>
      </c>
      <c r="G60">
        <v>476747720364.74164</v>
      </c>
      <c r="H60">
        <v>90.679500000000004</v>
      </c>
      <c r="I60">
        <v>4233.3078374485631</v>
      </c>
    </row>
    <row r="61" spans="1:9" x14ac:dyDescent="0.25">
      <c r="A61" s="4" t="s">
        <v>173</v>
      </c>
      <c r="B61" s="5" t="s">
        <v>173</v>
      </c>
      <c r="C61" t="str">
        <f>_xlfn.XLOOKUP(B61,'regions'!A:A,'regions'!F:F)</f>
        <v>Americas</v>
      </c>
      <c r="D61">
        <v>6280319</v>
      </c>
      <c r="E61">
        <v>21040</v>
      </c>
      <c r="F61">
        <v>71.968999999999994</v>
      </c>
      <c r="G61">
        <v>31870120000</v>
      </c>
      <c r="H61">
        <v>183.249</v>
      </c>
      <c r="I61">
        <v>5074.6021022180557</v>
      </c>
    </row>
    <row r="62" spans="1:9" x14ac:dyDescent="0.25">
      <c r="A62" s="2" t="s">
        <v>175</v>
      </c>
      <c r="B62" s="3" t="s">
        <v>175</v>
      </c>
      <c r="C62" t="str">
        <f>_xlfn.XLOOKUP(B62,'regions'!A:A,'regions'!F:F)</f>
        <v>Africa</v>
      </c>
      <c r="D62">
        <v>1803545</v>
      </c>
      <c r="E62">
        <v>28050</v>
      </c>
      <c r="F62">
        <v>63.354999999999997</v>
      </c>
      <c r="G62">
        <v>13687643435.624901</v>
      </c>
      <c r="H62">
        <v>49.537999999999997</v>
      </c>
      <c r="I62">
        <v>7589.2996490938131</v>
      </c>
    </row>
    <row r="63" spans="1:9" x14ac:dyDescent="0.25">
      <c r="A63" s="4" t="s">
        <v>177</v>
      </c>
      <c r="B63" s="5" t="s">
        <v>177</v>
      </c>
      <c r="C63" t="str">
        <f>_xlfn.XLOOKUP(B63,'regions'!A:A,'regions'!F:F)</f>
        <v>Africa</v>
      </c>
      <c r="D63">
        <v>3409447</v>
      </c>
      <c r="E63">
        <v>121765.8</v>
      </c>
      <c r="F63">
        <v>67.789000000000001</v>
      </c>
      <c r="H63">
        <v>59.1248</v>
      </c>
    </row>
    <row r="64" spans="1:9" x14ac:dyDescent="0.25">
      <c r="A64" s="2" t="s">
        <v>179</v>
      </c>
      <c r="B64" s="3" t="s">
        <v>179</v>
      </c>
      <c r="C64" t="str">
        <f>_xlfn.XLOOKUP(B64,'regions'!A:A,'regions'!F:F)</f>
        <v>Europe</v>
      </c>
      <c r="D64">
        <v>1348840</v>
      </c>
      <c r="E64">
        <v>45340</v>
      </c>
      <c r="F64">
        <v>77.84390243902439</v>
      </c>
      <c r="G64">
        <v>38226641740.290031</v>
      </c>
      <c r="H64">
        <v>152.27099999999999</v>
      </c>
      <c r="I64">
        <v>28340.382654940564</v>
      </c>
    </row>
    <row r="65" spans="1:9" x14ac:dyDescent="0.25">
      <c r="A65" s="4" t="s">
        <v>181</v>
      </c>
      <c r="B65" s="5" t="s">
        <v>181</v>
      </c>
      <c r="C65" t="str">
        <f>_xlfn.XLOOKUP(B65,'regions'!A:A,'regions'!F:F)</f>
        <v>Africa</v>
      </c>
      <c r="D65">
        <v>1218917</v>
      </c>
      <c r="E65">
        <v>17360</v>
      </c>
      <c r="F65">
        <v>63.027999999999999</v>
      </c>
      <c r="G65">
        <v>4746660273.5082855</v>
      </c>
      <c r="H65">
        <v>121.492</v>
      </c>
      <c r="I65">
        <v>3894.1620089869011</v>
      </c>
    </row>
    <row r="66" spans="1:9" x14ac:dyDescent="0.25">
      <c r="A66" s="2" t="s">
        <v>183</v>
      </c>
      <c r="B66" s="3" t="s">
        <v>183</v>
      </c>
      <c r="C66" t="str">
        <f>_xlfn.XLOOKUP(B66,'regions'!A:A,'regions'!F:F)</f>
        <v>Africa</v>
      </c>
      <c r="D66">
        <v>125384287</v>
      </c>
      <c r="E66">
        <v>1136239.7</v>
      </c>
      <c r="F66">
        <v>66.897000000000006</v>
      </c>
      <c r="G66">
        <v>123140304666</v>
      </c>
      <c r="H66">
        <v>56.964300000000001</v>
      </c>
      <c r="I66">
        <v>982.10316150699168</v>
      </c>
    </row>
    <row r="67" spans="1:9" x14ac:dyDescent="0.25">
      <c r="A67" s="4" t="s">
        <v>185</v>
      </c>
      <c r="B67" s="5" t="s">
        <v>185</v>
      </c>
      <c r="C67" t="str">
        <f>_xlfn.XLOOKUP(B67,'regions'!A:A,'regions'!F:F)</f>
        <v>Europe</v>
      </c>
      <c r="D67">
        <v>53912</v>
      </c>
      <c r="E67">
        <v>12960</v>
      </c>
      <c r="F67">
        <v>82.943902439024413</v>
      </c>
      <c r="G67">
        <v>3615241800.5005755</v>
      </c>
      <c r="H67">
        <v>105.804</v>
      </c>
      <c r="I67">
        <v>67058.202264812571</v>
      </c>
    </row>
    <row r="68" spans="1:9" x14ac:dyDescent="0.25">
      <c r="A68" s="2" t="s">
        <v>187</v>
      </c>
      <c r="B68" s="3" t="s">
        <v>187</v>
      </c>
      <c r="C68" t="str">
        <f>_xlfn.XLOOKUP(B68,'regions'!A:A,'regions'!F:F)</f>
        <v>Oceania</v>
      </c>
      <c r="D68">
        <v>919422</v>
      </c>
      <c r="E68">
        <v>18270</v>
      </c>
      <c r="F68">
        <v>67.147999999999996</v>
      </c>
      <c r="G68">
        <v>4977861885.6031618</v>
      </c>
      <c r="H68">
        <v>111.749</v>
      </c>
      <c r="I68">
        <v>5414.1209211908808</v>
      </c>
    </row>
    <row r="69" spans="1:9" x14ac:dyDescent="0.25">
      <c r="A69" s="4" t="s">
        <v>189</v>
      </c>
      <c r="B69" s="5" t="s">
        <v>189</v>
      </c>
      <c r="C69" t="str">
        <f>_xlfn.XLOOKUP(B69,'regions'!A:A,'regions'!F:F)</f>
        <v>Europe</v>
      </c>
      <c r="D69">
        <v>5556106</v>
      </c>
      <c r="E69">
        <v>338470</v>
      </c>
      <c r="F69">
        <v>81.187804878048794</v>
      </c>
      <c r="G69">
        <v>280253099309.3396</v>
      </c>
      <c r="H69">
        <v>128.023</v>
      </c>
      <c r="I69">
        <v>50440.56022497404</v>
      </c>
    </row>
    <row r="70" spans="1:9" x14ac:dyDescent="0.25">
      <c r="A70" s="2" t="s">
        <v>191</v>
      </c>
      <c r="B70" s="3" t="s">
        <v>191</v>
      </c>
      <c r="C70" t="str">
        <f>_xlfn.XLOOKUP(B70,'regions'!A:A,'regions'!F:F)</f>
        <v>Europe</v>
      </c>
      <c r="D70">
        <v>68184457</v>
      </c>
      <c r="E70">
        <v>606410</v>
      </c>
      <c r="F70">
        <v>82.129268292682937</v>
      </c>
      <c r="G70">
        <v>2794788137066.937</v>
      </c>
      <c r="H70">
        <v>115.95099999999999</v>
      </c>
      <c r="I70">
        <v>40988.639640657944</v>
      </c>
    </row>
    <row r="71" spans="1:9" x14ac:dyDescent="0.25">
      <c r="A71" s="4" t="s">
        <v>193</v>
      </c>
      <c r="B71" s="5" t="s">
        <v>193</v>
      </c>
      <c r="C71" t="str">
        <f>_xlfn.XLOOKUP(B71,'regions'!A:A,'regions'!F:F)</f>
        <v>Oceania</v>
      </c>
      <c r="D71">
        <v>280378</v>
      </c>
      <c r="E71">
        <v>3471</v>
      </c>
      <c r="F71">
        <v>83.858999999999995</v>
      </c>
      <c r="G71">
        <v>5622688338.0631676</v>
      </c>
      <c r="H71">
        <v>116.866</v>
      </c>
      <c r="I71">
        <v>20053.956936932169</v>
      </c>
    </row>
    <row r="72" spans="1:9" x14ac:dyDescent="0.25">
      <c r="A72" s="2" t="s">
        <v>195</v>
      </c>
      <c r="B72" s="3" t="s">
        <v>195</v>
      </c>
      <c r="C72" t="str">
        <f>_xlfn.XLOOKUP(B72,'regions'!A:A,'regions'!F:F)</f>
        <v>Africa</v>
      </c>
      <c r="D72">
        <v>2430747</v>
      </c>
      <c r="E72">
        <v>267670</v>
      </c>
      <c r="F72">
        <v>67.712999999999994</v>
      </c>
      <c r="G72">
        <v>20440655695.180443</v>
      </c>
      <c r="H72">
        <v>123.233</v>
      </c>
      <c r="I72">
        <v>8409.2074145028018</v>
      </c>
    </row>
    <row r="73" spans="1:9" x14ac:dyDescent="0.25">
      <c r="A73" s="4" t="s">
        <v>197</v>
      </c>
      <c r="B73" s="5" t="s">
        <v>499</v>
      </c>
      <c r="C73" t="str">
        <f>_xlfn.XLOOKUP(B73,'regions'!A:A,'regions'!F:F)</f>
        <v>Africa</v>
      </c>
      <c r="D73">
        <v>2636470</v>
      </c>
      <c r="E73">
        <v>11300</v>
      </c>
      <c r="F73">
        <v>64.858999999999995</v>
      </c>
      <c r="G73">
        <v>2204734527.88096</v>
      </c>
      <c r="H73">
        <v>106.782</v>
      </c>
      <c r="I73">
        <v>836.24487586847567</v>
      </c>
    </row>
    <row r="74" spans="1:9" x14ac:dyDescent="0.25">
      <c r="A74" s="2" t="s">
        <v>199</v>
      </c>
      <c r="B74" s="3" t="s">
        <v>199</v>
      </c>
      <c r="C74" t="str">
        <f>_xlfn.XLOOKUP(B74,'regions'!A:A,'regions'!F:F)</f>
        <v>Asia</v>
      </c>
      <c r="D74">
        <v>3712502</v>
      </c>
      <c r="E74">
        <v>69700</v>
      </c>
      <c r="F74">
        <v>74.141000000000005</v>
      </c>
      <c r="G74">
        <v>24984568959.604965</v>
      </c>
      <c r="H74">
        <v>154.01400000000001</v>
      </c>
      <c r="I74">
        <v>6729.8465993028331</v>
      </c>
    </row>
    <row r="75" spans="1:9" x14ac:dyDescent="0.25">
      <c r="A75" s="4" t="s">
        <v>201</v>
      </c>
      <c r="B75" s="5" t="s">
        <v>201</v>
      </c>
      <c r="C75" t="str">
        <f>_xlfn.XLOOKUP(B75,'regions'!A:A,'regions'!F:F)</f>
        <v>Europe</v>
      </c>
      <c r="D75">
        <v>83177813</v>
      </c>
      <c r="E75">
        <v>357600</v>
      </c>
      <c r="F75">
        <v>80.608048780487806</v>
      </c>
      <c r="G75">
        <v>4201021706478.6157</v>
      </c>
      <c r="H75">
        <v>124.158</v>
      </c>
      <c r="I75">
        <v>50506.517963854327</v>
      </c>
    </row>
    <row r="76" spans="1:9" x14ac:dyDescent="0.25">
      <c r="A76" s="2" t="s">
        <v>203</v>
      </c>
      <c r="B76" s="3" t="s">
        <v>203</v>
      </c>
      <c r="C76" t="str">
        <f>_xlfn.XLOOKUP(B76,'regions'!A:A,'regions'!F:F)</f>
        <v>Africa</v>
      </c>
      <c r="D76">
        <v>33149152</v>
      </c>
      <c r="E76">
        <v>238533</v>
      </c>
      <c r="F76">
        <v>65.245999999999995</v>
      </c>
      <c r="G76">
        <v>73919003209.986649</v>
      </c>
      <c r="H76">
        <v>120.803</v>
      </c>
      <c r="I76">
        <v>2229.8912264780301</v>
      </c>
    </row>
    <row r="77" spans="1:9" x14ac:dyDescent="0.25">
      <c r="A77" s="4" t="s">
        <v>205</v>
      </c>
      <c r="B77" s="5" t="s">
        <v>205</v>
      </c>
      <c r="C77" t="str">
        <f>_xlfn.XLOOKUP(B77,'regions'!A:A,'regions'!F:F)</f>
        <v>Europe</v>
      </c>
      <c r="D77">
        <v>37609</v>
      </c>
      <c r="E77">
        <v>10</v>
      </c>
      <c r="F77">
        <v>83.516999999999996</v>
      </c>
      <c r="H77">
        <v>97.604299999999995</v>
      </c>
    </row>
    <row r="78" spans="1:9" x14ac:dyDescent="0.25">
      <c r="A78" s="2" t="s">
        <v>207</v>
      </c>
      <c r="B78" s="3" t="s">
        <v>207</v>
      </c>
      <c r="C78" t="str">
        <f>_xlfn.XLOOKUP(B78,'regions'!A:A,'regions'!F:F)</f>
        <v>Europe</v>
      </c>
      <c r="D78">
        <v>10436882</v>
      </c>
      <c r="E78">
        <v>131960</v>
      </c>
      <c r="F78">
        <v>80.787804878048789</v>
      </c>
      <c r="G78">
        <v>217990189600.68958</v>
      </c>
      <c r="H78">
        <v>109.027</v>
      </c>
      <c r="I78">
        <v>20886.524308762862</v>
      </c>
    </row>
    <row r="79" spans="1:9" x14ac:dyDescent="0.25">
      <c r="A79" s="4" t="s">
        <v>209</v>
      </c>
      <c r="B79" s="5" t="s">
        <v>209</v>
      </c>
      <c r="C79" t="str">
        <f>_xlfn.XLOOKUP(B79,'regions'!A:A,'regions'!F:F)</f>
        <v>Americas</v>
      </c>
      <c r="D79">
        <v>56661</v>
      </c>
      <c r="E79">
        <v>410450</v>
      </c>
      <c r="F79">
        <v>71.540487804878069</v>
      </c>
      <c r="G79">
        <v>3152334771.7799163</v>
      </c>
      <c r="H79">
        <v>118.637</v>
      </c>
      <c r="I79">
        <v>55635.000649122259</v>
      </c>
    </row>
    <row r="80" spans="1:9" x14ac:dyDescent="0.25">
      <c r="A80" s="2" t="s">
        <v>211</v>
      </c>
      <c r="B80" s="3" t="s">
        <v>211</v>
      </c>
      <c r="C80" t="str">
        <f>_xlfn.XLOOKUP(B80,'regions'!A:A,'regions'!F:F)</f>
        <v>Americas</v>
      </c>
      <c r="D80">
        <v>116913</v>
      </c>
      <c r="E80">
        <v>340</v>
      </c>
      <c r="F80">
        <v>75.150999999999996</v>
      </c>
      <c r="G80">
        <v>1224007407.4074073</v>
      </c>
      <c r="H80">
        <v>95.759200000000007</v>
      </c>
      <c r="I80">
        <v>10469.386701285634</v>
      </c>
    </row>
    <row r="81" spans="1:9" x14ac:dyDescent="0.25">
      <c r="A81" s="4" t="s">
        <v>213</v>
      </c>
      <c r="B81" s="5" t="s">
        <v>213</v>
      </c>
      <c r="C81" t="str">
        <f>_xlfn.XLOOKUP(B81,'regions'!A:A,'regions'!F:F)</f>
        <v>Oceania</v>
      </c>
      <c r="D81">
        <v>165180</v>
      </c>
      <c r="E81">
        <v>540</v>
      </c>
      <c r="F81">
        <v>77.102000000000004</v>
      </c>
      <c r="G81">
        <v>6910000000</v>
      </c>
      <c r="I81">
        <v>41833.151713282481</v>
      </c>
    </row>
    <row r="82" spans="1:9" x14ac:dyDescent="0.25">
      <c r="A82" s="2" t="s">
        <v>215</v>
      </c>
      <c r="B82" s="3" t="s">
        <v>215</v>
      </c>
      <c r="C82" t="str">
        <f>_xlfn.XLOOKUP(B82,'regions'!A:A,'regions'!F:F)</f>
        <v>Americas</v>
      </c>
      <c r="D82">
        <v>17847877</v>
      </c>
      <c r="E82">
        <v>108890</v>
      </c>
      <c r="F82">
        <v>71.206000000000003</v>
      </c>
      <c r="G82">
        <v>95641446500.652283</v>
      </c>
      <c r="H82">
        <v>115.15600000000001</v>
      </c>
      <c r="I82">
        <v>5358.7015699767699</v>
      </c>
    </row>
    <row r="83" spans="1:9" x14ac:dyDescent="0.25">
      <c r="A83" s="4" t="s">
        <v>217</v>
      </c>
      <c r="B83" s="5" t="s">
        <v>217</v>
      </c>
      <c r="C83" t="str">
        <f>_xlfn.XLOOKUP(B83,'regions'!A:A,'regions'!F:F)</f>
        <v>Africa</v>
      </c>
      <c r="D83">
        <v>14055137</v>
      </c>
      <c r="E83">
        <v>245860</v>
      </c>
      <c r="F83">
        <v>60.432000000000002</v>
      </c>
      <c r="G83">
        <v>19910452541.921909</v>
      </c>
      <c r="H83">
        <v>108.88500000000001</v>
      </c>
      <c r="I83">
        <v>1416.5961201176417</v>
      </c>
    </row>
    <row r="84" spans="1:9" x14ac:dyDescent="0.25">
      <c r="A84" s="2" t="s">
        <v>219</v>
      </c>
      <c r="B84" s="3" t="s">
        <v>219</v>
      </c>
      <c r="C84" t="str">
        <f>_xlfn.XLOOKUP(B84,'regions'!A:A,'regions'!F:F)</f>
        <v>Africa</v>
      </c>
      <c r="D84">
        <v>2105529</v>
      </c>
      <c r="E84">
        <v>36130</v>
      </c>
      <c r="F84">
        <v>63.604999999999997</v>
      </c>
      <c r="G84">
        <v>1859601384.0592759</v>
      </c>
      <c r="H84">
        <v>125.935</v>
      </c>
      <c r="I84">
        <v>883.19913145783119</v>
      </c>
    </row>
    <row r="85" spans="1:9" x14ac:dyDescent="0.25">
      <c r="A85" s="4" t="s">
        <v>221</v>
      </c>
      <c r="B85" s="5" t="s">
        <v>221</v>
      </c>
      <c r="C85" t="str">
        <f>_xlfn.XLOOKUP(B85,'regions'!A:A,'regions'!F:F)</f>
        <v>Americas</v>
      </c>
      <c r="D85">
        <v>821637</v>
      </c>
      <c r="E85">
        <v>214970</v>
      </c>
      <c r="F85">
        <v>69.888000000000005</v>
      </c>
      <c r="G85">
        <v>14718388489.208633</v>
      </c>
      <c r="H85">
        <v>112.565</v>
      </c>
      <c r="I85">
        <v>17913.492806687907</v>
      </c>
    </row>
    <row r="86" spans="1:9" x14ac:dyDescent="0.25">
      <c r="A86" s="2" t="s">
        <v>223</v>
      </c>
      <c r="B86" s="3" t="s">
        <v>223</v>
      </c>
      <c r="C86" t="str">
        <f>_xlfn.XLOOKUP(B86,'regions'!A:A,'regions'!F:F)</f>
        <v>Americas</v>
      </c>
      <c r="D86">
        <v>11503606</v>
      </c>
      <c r="E86">
        <v>27750</v>
      </c>
      <c r="F86">
        <v>63.948</v>
      </c>
      <c r="G86">
        <v>20253551920.551617</v>
      </c>
      <c r="H86">
        <v>65.188900000000004</v>
      </c>
      <c r="I86">
        <v>1760.626356687774</v>
      </c>
    </row>
    <row r="87" spans="1:9" x14ac:dyDescent="0.25">
      <c r="A87" s="4" t="s">
        <v>225</v>
      </c>
      <c r="B87" s="5" t="s">
        <v>225</v>
      </c>
      <c r="C87" t="str">
        <f>_xlfn.XLOOKUP(B87,'regions'!A:A,'regions'!F:F)</f>
        <v>Americas</v>
      </c>
      <c r="D87">
        <v>10463872</v>
      </c>
      <c r="E87">
        <v>112490</v>
      </c>
      <c r="F87">
        <v>72.715000000000003</v>
      </c>
      <c r="G87">
        <v>31426041806.798485</v>
      </c>
      <c r="H87">
        <v>75.855099999999993</v>
      </c>
      <c r="I87">
        <v>3003.2899682639932</v>
      </c>
    </row>
    <row r="88" spans="1:9" x14ac:dyDescent="0.25">
      <c r="A88" s="2" t="s">
        <v>227</v>
      </c>
      <c r="B88" s="3" t="s">
        <v>137</v>
      </c>
      <c r="C88" t="str">
        <f>_xlfn.XLOOKUP(B88,'regions'!A:A,'regions'!F:F)</f>
        <v>Asia</v>
      </c>
      <c r="D88">
        <v>7346100</v>
      </c>
      <c r="E88">
        <v>1110</v>
      </c>
      <c r="F88">
        <v>83.660975609756107</v>
      </c>
      <c r="G88">
        <v>358679533984.7182</v>
      </c>
      <c r="H88">
        <v>292.80799999999999</v>
      </c>
      <c r="I88">
        <v>48825.844187353592</v>
      </c>
    </row>
    <row r="89" spans="1:9" x14ac:dyDescent="0.25">
      <c r="A89" s="4" t="s">
        <v>229</v>
      </c>
      <c r="B89" s="5" t="s">
        <v>229</v>
      </c>
      <c r="C89" t="str">
        <f>_xlfn.XLOOKUP(B89,'regions'!A:A,'regions'!F:F)</f>
        <v>Europe</v>
      </c>
      <c r="D89">
        <v>9605074</v>
      </c>
      <c r="E89">
        <v>93030</v>
      </c>
      <c r="F89">
        <v>75.868292682926835</v>
      </c>
      <c r="G89">
        <v>177002580544.15546</v>
      </c>
      <c r="H89">
        <v>105.794</v>
      </c>
      <c r="I89">
        <v>18428.02882561399</v>
      </c>
    </row>
    <row r="90" spans="1:9" x14ac:dyDescent="0.25">
      <c r="A90" s="2" t="s">
        <v>231</v>
      </c>
      <c r="B90" s="3" t="s">
        <v>231</v>
      </c>
      <c r="C90" t="str">
        <f>_xlfn.XLOOKUP(B90,'regions'!A:A,'regions'!F:F)</f>
        <v>Europe</v>
      </c>
      <c r="D90">
        <v>382003</v>
      </c>
      <c r="E90">
        <v>103000</v>
      </c>
      <c r="F90">
        <v>82.11951219512197</v>
      </c>
      <c r="G90">
        <v>29166102877.27552</v>
      </c>
      <c r="H90">
        <v>120.11499999999999</v>
      </c>
      <c r="I90">
        <v>76350.455041650246</v>
      </c>
    </row>
    <row r="91" spans="1:9" x14ac:dyDescent="0.25">
      <c r="A91" s="4" t="s">
        <v>233</v>
      </c>
      <c r="B91" s="5" t="s">
        <v>233</v>
      </c>
      <c r="C91" t="str">
        <f>_xlfn.XLOOKUP(B91,'regions'!A:A,'regions'!F:F)</f>
        <v>Asia</v>
      </c>
      <c r="D91">
        <v>1425423212</v>
      </c>
      <c r="E91">
        <v>3287260</v>
      </c>
      <c r="F91">
        <v>71.697999999999993</v>
      </c>
      <c r="G91">
        <v>3346107287730.9272</v>
      </c>
      <c r="H91">
        <v>80.181799999999996</v>
      </c>
      <c r="I91">
        <v>2347.4482943462317</v>
      </c>
    </row>
    <row r="92" spans="1:9" x14ac:dyDescent="0.25">
      <c r="A92" s="2" t="s">
        <v>235</v>
      </c>
      <c r="B92" s="3" t="s">
        <v>235</v>
      </c>
      <c r="C92" t="str">
        <f>_xlfn.XLOOKUP(B92,'regions'!A:A,'regions'!F:F)</f>
        <v>Asia</v>
      </c>
      <c r="D92">
        <v>278830529</v>
      </c>
      <c r="E92">
        <v>1916906.77</v>
      </c>
      <c r="F92">
        <v>70.924999999999997</v>
      </c>
      <c r="G92">
        <v>1319101183380.1516</v>
      </c>
      <c r="H92">
        <v>122.873</v>
      </c>
      <c r="I92">
        <v>4730.8348483610689</v>
      </c>
    </row>
    <row r="93" spans="1:9" x14ac:dyDescent="0.25">
      <c r="A93" s="4" t="s">
        <v>237</v>
      </c>
      <c r="B93" s="5" t="s">
        <v>500</v>
      </c>
      <c r="C93" t="str">
        <f>_xlfn.XLOOKUP(B93,'regions'!A:A,'regions'!F:F)</f>
        <v>Asia</v>
      </c>
      <c r="D93">
        <v>89524246</v>
      </c>
      <c r="E93">
        <v>1745150</v>
      </c>
      <c r="F93">
        <v>76.799000000000007</v>
      </c>
      <c r="G93">
        <v>422662261525.66516</v>
      </c>
      <c r="H93">
        <v>162.71299999999999</v>
      </c>
      <c r="I93">
        <v>4721.2043709998425</v>
      </c>
    </row>
    <row r="94" spans="1:9" x14ac:dyDescent="0.25">
      <c r="A94" s="2" t="s">
        <v>239</v>
      </c>
      <c r="B94" s="3" t="s">
        <v>239</v>
      </c>
      <c r="C94" t="str">
        <f>_xlfn.XLOOKUP(B94,'regions'!A:A,'regions'!F:F)</f>
        <v>Asia</v>
      </c>
      <c r="D94">
        <v>44070551</v>
      </c>
      <c r="E94">
        <v>435050</v>
      </c>
      <c r="F94">
        <v>72.037000000000006</v>
      </c>
      <c r="G94">
        <v>287372232137.93103</v>
      </c>
      <c r="H94">
        <v>99.132400000000004</v>
      </c>
      <c r="I94">
        <v>6520.7315456058404</v>
      </c>
    </row>
    <row r="95" spans="1:9" x14ac:dyDescent="0.25">
      <c r="A95" s="4" t="s">
        <v>241</v>
      </c>
      <c r="B95" s="5" t="s">
        <v>241</v>
      </c>
      <c r="C95" t="str">
        <f>_xlfn.XLOOKUP(B95,'regions'!A:A,'regions'!F:F)</f>
        <v>Europe</v>
      </c>
      <c r="D95">
        <v>5212836</v>
      </c>
      <c r="E95">
        <v>70280</v>
      </c>
      <c r="F95">
        <v>82.509756097560981</v>
      </c>
      <c r="G95">
        <v>548341794599.08966</v>
      </c>
      <c r="H95">
        <v>110.60899999999999</v>
      </c>
      <c r="I95">
        <v>105190.68595273084</v>
      </c>
    </row>
    <row r="96" spans="1:9" x14ac:dyDescent="0.25">
      <c r="A96" s="2" t="s">
        <v>243</v>
      </c>
      <c r="B96" s="3" t="s">
        <v>243</v>
      </c>
      <c r="C96" t="str">
        <f>_xlfn.XLOOKUP(B96,'regions'!A:A,'regions'!F:F)</f>
        <v>Europe</v>
      </c>
      <c r="D96">
        <v>84132</v>
      </c>
      <c r="E96">
        <v>570</v>
      </c>
      <c r="F96">
        <v>80.956000000000003</v>
      </c>
      <c r="G96">
        <v>7431257410.9271269</v>
      </c>
      <c r="I96">
        <v>88328.548125887028</v>
      </c>
    </row>
    <row r="97" spans="1:9" x14ac:dyDescent="0.25">
      <c r="A97" s="4" t="s">
        <v>245</v>
      </c>
      <c r="B97" s="5" t="s">
        <v>245</v>
      </c>
      <c r="C97" t="str">
        <f>_xlfn.XLOOKUP(B97,'regions'!A:A,'regions'!F:F)</f>
        <v>Asia</v>
      </c>
      <c r="D97">
        <v>9557500</v>
      </c>
      <c r="E97">
        <v>22070</v>
      </c>
      <c r="F97">
        <v>82.700000000000017</v>
      </c>
      <c r="G97">
        <v>525181008025.57025</v>
      </c>
      <c r="H97">
        <v>151.13800000000001</v>
      </c>
      <c r="I97">
        <v>54949.621556429011</v>
      </c>
    </row>
    <row r="98" spans="1:9" x14ac:dyDescent="0.25">
      <c r="A98" s="2" t="s">
        <v>247</v>
      </c>
      <c r="B98" s="3" t="s">
        <v>247</v>
      </c>
      <c r="C98" t="str">
        <f>_xlfn.XLOOKUP(B98,'regions'!A:A,'regions'!F:F)</f>
        <v>Europe</v>
      </c>
      <c r="D98">
        <v>59013667</v>
      </c>
      <c r="E98">
        <v>302070</v>
      </c>
      <c r="F98">
        <v>82.700000000000017</v>
      </c>
      <c r="G98">
        <v>2104067630319.4634</v>
      </c>
      <c r="H98">
        <v>131.67400000000001</v>
      </c>
      <c r="I98">
        <v>35653.904210349501</v>
      </c>
    </row>
    <row r="99" spans="1:9" x14ac:dyDescent="0.25">
      <c r="A99" s="4" t="s">
        <v>249</v>
      </c>
      <c r="B99" s="5" t="s">
        <v>249</v>
      </c>
      <c r="C99" t="str">
        <f>_xlfn.XLOOKUP(B99,'regions'!A:A,'regions'!F:F)</f>
        <v>Americas</v>
      </c>
      <c r="D99">
        <v>2839144</v>
      </c>
      <c r="E99">
        <v>10990</v>
      </c>
      <c r="F99">
        <v>71.480999999999995</v>
      </c>
      <c r="G99">
        <v>18813516805.214046</v>
      </c>
      <c r="H99">
        <v>105.762</v>
      </c>
      <c r="I99">
        <v>6626.4750238853849</v>
      </c>
    </row>
    <row r="100" spans="1:9" x14ac:dyDescent="0.25">
      <c r="A100" s="2" t="s">
        <v>251</v>
      </c>
      <c r="B100" s="3" t="s">
        <v>251</v>
      </c>
      <c r="C100" t="str">
        <f>_xlfn.XLOOKUP(B100,'regions'!A:A,'regions'!F:F)</f>
        <v>Asia</v>
      </c>
      <c r="D100">
        <v>125124989</v>
      </c>
      <c r="E100">
        <v>377969.27</v>
      </c>
      <c r="F100">
        <v>83.996341463414637</v>
      </c>
      <c r="G100">
        <v>4262463317796.5278</v>
      </c>
      <c r="H100">
        <v>168.60300000000001</v>
      </c>
      <c r="I100">
        <v>34065.64389625263</v>
      </c>
    </row>
    <row r="101" spans="1:9" x14ac:dyDescent="0.25">
      <c r="A101" s="4" t="s">
        <v>253</v>
      </c>
      <c r="B101" s="5" t="s">
        <v>253</v>
      </c>
      <c r="C101" t="str">
        <f>_xlfn.XLOOKUP(B101,'regions'!A:A,'regions'!F:F)</f>
        <v>Asia</v>
      </c>
      <c r="D101">
        <v>11256263</v>
      </c>
      <c r="E101">
        <v>89318</v>
      </c>
      <c r="F101">
        <v>77.087999999999994</v>
      </c>
      <c r="G101">
        <v>48764963380.281693</v>
      </c>
      <c r="H101">
        <v>67.745699999999999</v>
      </c>
      <c r="I101">
        <v>4332.2515989793146</v>
      </c>
    </row>
    <row r="102" spans="1:9" x14ac:dyDescent="0.25">
      <c r="A102" s="2" t="s">
        <v>255</v>
      </c>
      <c r="B102" s="3" t="s">
        <v>255</v>
      </c>
      <c r="C102" t="str">
        <f>_xlfn.XLOOKUP(B102,'regions'!A:A,'regions'!F:F)</f>
        <v>Asia</v>
      </c>
      <c r="D102">
        <v>20034609</v>
      </c>
      <c r="E102">
        <v>2724902</v>
      </c>
      <c r="F102">
        <v>73.503</v>
      </c>
      <c r="G102">
        <v>225496328925.49411</v>
      </c>
      <c r="H102">
        <v>125.642</v>
      </c>
      <c r="I102">
        <v>11255.339643788113</v>
      </c>
    </row>
    <row r="103" spans="1:9" x14ac:dyDescent="0.25">
      <c r="A103" s="4" t="s">
        <v>257</v>
      </c>
      <c r="B103" s="5" t="s">
        <v>257</v>
      </c>
      <c r="C103" t="str">
        <f>_xlfn.XLOOKUP(B103,'regions'!A:A,'regions'!F:F)</f>
        <v>Africa</v>
      </c>
      <c r="D103">
        <v>54252461</v>
      </c>
      <c r="E103">
        <v>591969</v>
      </c>
      <c r="F103">
        <v>63.548999999999999</v>
      </c>
      <c r="G103">
        <v>114448978152.63741</v>
      </c>
      <c r="H103">
        <v>121.169</v>
      </c>
      <c r="I103">
        <v>2109.562885131375</v>
      </c>
    </row>
    <row r="104" spans="1:9" x14ac:dyDescent="0.25">
      <c r="A104" s="2" t="s">
        <v>259</v>
      </c>
      <c r="B104" s="3" t="s">
        <v>259</v>
      </c>
      <c r="C104" t="str">
        <f>_xlfn.XLOOKUP(B104,'regions'!A:A,'regions'!F:F)</f>
        <v>Oceania</v>
      </c>
      <c r="D104">
        <v>130469</v>
      </c>
      <c r="E104">
        <v>810</v>
      </c>
      <c r="F104">
        <v>66.269000000000005</v>
      </c>
      <c r="G104">
        <v>270040453.25401759</v>
      </c>
      <c r="H104">
        <v>49.112000000000002</v>
      </c>
      <c r="I104">
        <v>2069.7671726924987</v>
      </c>
    </row>
    <row r="105" spans="1:9" x14ac:dyDescent="0.25">
      <c r="A105" s="4" t="s">
        <v>261</v>
      </c>
      <c r="B105" s="5" t="s">
        <v>501</v>
      </c>
      <c r="C105" t="str">
        <f>_xlfn.XLOOKUP(B105,'regions'!A:A,'regions'!F:F)</f>
        <v>Asia</v>
      </c>
      <c r="D105">
        <v>26328845</v>
      </c>
      <c r="E105">
        <v>120540</v>
      </c>
      <c r="F105">
        <v>73.641000000000005</v>
      </c>
      <c r="H105">
        <v>24.1311</v>
      </c>
    </row>
    <row r="106" spans="1:9" x14ac:dyDescent="0.25">
      <c r="A106" s="2" t="s">
        <v>263</v>
      </c>
      <c r="B106" s="3" t="s">
        <v>502</v>
      </c>
      <c r="C106" t="str">
        <f>_xlfn.XLOOKUP(B106,'regions'!A:A,'regions'!F:F)</f>
        <v>Asia</v>
      </c>
      <c r="D106">
        <v>51672569</v>
      </c>
      <c r="E106">
        <v>100440</v>
      </c>
      <c r="F106">
        <v>82.680487804878055</v>
      </c>
      <c r="G106">
        <v>1799363116866.521</v>
      </c>
      <c r="H106">
        <v>148.684</v>
      </c>
      <c r="I106">
        <v>34822.404840497111</v>
      </c>
    </row>
    <row r="107" spans="1:9" x14ac:dyDescent="0.25">
      <c r="A107" s="4" t="s">
        <v>265</v>
      </c>
      <c r="B107" s="5" t="s">
        <v>405</v>
      </c>
      <c r="C107" t="str">
        <f>_xlfn.XLOOKUP(B107,'regions'!A:A,'regions'!F:F)</f>
        <v>Oceania</v>
      </c>
      <c r="D107">
        <v>1768096</v>
      </c>
      <c r="F107">
        <v>77.623000000000005</v>
      </c>
      <c r="G107">
        <v>9354907646.2978477</v>
      </c>
      <c r="H107">
        <v>34.540199999999999</v>
      </c>
      <c r="I107">
        <v>5290.9500650970576</v>
      </c>
    </row>
    <row r="108" spans="1:9" x14ac:dyDescent="0.25">
      <c r="A108" s="2" t="s">
        <v>267</v>
      </c>
      <c r="B108" s="3" t="s">
        <v>267</v>
      </c>
      <c r="C108" t="str">
        <f>_xlfn.XLOOKUP(B108,'regions'!A:A,'regions'!F:F)</f>
        <v>Asia</v>
      </c>
      <c r="D108">
        <v>4589643</v>
      </c>
      <c r="E108">
        <v>17820</v>
      </c>
      <c r="F108">
        <v>80.587804878048786</v>
      </c>
      <c r="G108">
        <v>183502046693.87753</v>
      </c>
      <c r="H108">
        <v>168.35</v>
      </c>
      <c r="I108">
        <v>39981.769103583334</v>
      </c>
    </row>
    <row r="109" spans="1:9" x14ac:dyDescent="0.25">
      <c r="A109" s="4" t="s">
        <v>269</v>
      </c>
      <c r="B109" s="5" t="s">
        <v>129</v>
      </c>
      <c r="C109" t="str">
        <f>_xlfn.XLOOKUP(B109,'regions'!A:A,'regions'!F:F)</f>
        <v>Africa</v>
      </c>
      <c r="D109">
        <v>6975220</v>
      </c>
      <c r="E109">
        <v>199950</v>
      </c>
      <c r="F109">
        <v>72.048780487804876</v>
      </c>
      <c r="G109">
        <v>12134931017.946526</v>
      </c>
      <c r="H109">
        <v>106.926</v>
      </c>
      <c r="I109">
        <v>1739.7201834417447</v>
      </c>
    </row>
    <row r="110" spans="1:9" x14ac:dyDescent="0.25">
      <c r="A110" s="2" t="s">
        <v>271</v>
      </c>
      <c r="B110" s="3" t="s">
        <v>503</v>
      </c>
      <c r="C110" t="str">
        <f>_xlfn.XLOOKUP(B110,'regions'!A:A,'regions'!F:F)</f>
        <v>Asia</v>
      </c>
      <c r="D110">
        <v>7559007</v>
      </c>
      <c r="E110">
        <v>236800</v>
      </c>
      <c r="F110">
        <v>68.715000000000003</v>
      </c>
      <c r="G110">
        <v>15468785203.753174</v>
      </c>
      <c r="H110">
        <v>63.354599999999998</v>
      </c>
      <c r="I110">
        <v>2046.4044025562052</v>
      </c>
    </row>
    <row r="111" spans="1:9" x14ac:dyDescent="0.25">
      <c r="A111" s="4" t="s">
        <v>273</v>
      </c>
      <c r="B111" s="5" t="s">
        <v>273</v>
      </c>
      <c r="C111" t="str">
        <f>_xlfn.XLOOKUP(B111,'regions'!A:A,'regions'!F:F)</f>
        <v>Europe</v>
      </c>
      <c r="D111">
        <v>1879383</v>
      </c>
      <c r="E111">
        <v>64590</v>
      </c>
      <c r="F111">
        <v>74.278048780487822</v>
      </c>
      <c r="G111">
        <v>38003198508.910652</v>
      </c>
      <c r="H111">
        <v>115.203</v>
      </c>
      <c r="I111">
        <v>20221.103686109032</v>
      </c>
    </row>
    <row r="112" spans="1:9" x14ac:dyDescent="0.25">
      <c r="A112" s="2" t="s">
        <v>275</v>
      </c>
      <c r="B112" s="3" t="s">
        <v>275</v>
      </c>
      <c r="C112" t="str">
        <f>_xlfn.XLOOKUP(B112,'regions'!A:A,'regions'!F:F)</f>
        <v>Asia</v>
      </c>
      <c r="D112">
        <v>5744489</v>
      </c>
      <c r="E112">
        <v>10450</v>
      </c>
      <c r="F112">
        <v>78.003</v>
      </c>
      <c r="G112">
        <v>20992421948.808086</v>
      </c>
      <c r="H112">
        <v>74.014799999999994</v>
      </c>
      <c r="I112">
        <v>3654.3584553487849</v>
      </c>
    </row>
    <row r="113" spans="1:9" x14ac:dyDescent="0.25">
      <c r="A113" s="4" t="s">
        <v>277</v>
      </c>
      <c r="B113" s="5" t="s">
        <v>277</v>
      </c>
      <c r="C113" t="str">
        <f>_xlfn.XLOOKUP(B113,'regions'!A:A,'regions'!F:F)</f>
        <v>Africa</v>
      </c>
      <c r="D113">
        <v>2286110</v>
      </c>
      <c r="E113">
        <v>30360</v>
      </c>
      <c r="F113">
        <v>56.811999999999998</v>
      </c>
      <c r="G113">
        <v>2354980960.0269704</v>
      </c>
      <c r="H113">
        <v>68.100099999999998</v>
      </c>
      <c r="I113">
        <v>1030.1258294775712</v>
      </c>
    </row>
    <row r="114" spans="1:9" x14ac:dyDescent="0.25">
      <c r="A114" s="2" t="s">
        <v>279</v>
      </c>
      <c r="B114" s="3" t="s">
        <v>279</v>
      </c>
      <c r="C114" t="str">
        <f>_xlfn.XLOOKUP(B114,'regions'!A:A,'regions'!F:F)</f>
        <v>Africa</v>
      </c>
      <c r="D114">
        <v>5373294</v>
      </c>
      <c r="E114">
        <v>111370</v>
      </c>
      <c r="F114">
        <v>61.933999999999997</v>
      </c>
      <c r="G114">
        <v>4001047000</v>
      </c>
      <c r="H114">
        <v>32.063899999999997</v>
      </c>
      <c r="I114">
        <v>744.61717523738696</v>
      </c>
    </row>
    <row r="115" spans="1:9" x14ac:dyDescent="0.25">
      <c r="A115" s="4" t="s">
        <v>281</v>
      </c>
      <c r="B115" s="5" t="s">
        <v>281</v>
      </c>
      <c r="C115" t="str">
        <f>_xlfn.XLOOKUP(B115,'regions'!A:A,'regions'!F:F)</f>
        <v>Africa</v>
      </c>
      <c r="D115">
        <v>7223805</v>
      </c>
      <c r="E115">
        <v>1759540</v>
      </c>
      <c r="F115">
        <v>74.462000000000003</v>
      </c>
      <c r="G115">
        <v>43246297921.849922</v>
      </c>
      <c r="H115">
        <v>192.97300000000001</v>
      </c>
      <c r="I115">
        <v>5986.6369485125806</v>
      </c>
    </row>
    <row r="116" spans="1:9" x14ac:dyDescent="0.25">
      <c r="A116" s="2" t="s">
        <v>283</v>
      </c>
      <c r="B116" s="3" t="s">
        <v>283</v>
      </c>
      <c r="C116" t="str">
        <f>_xlfn.XLOOKUP(B116,'regions'!A:A,'regions'!F:F)</f>
        <v>Europe</v>
      </c>
      <c r="D116">
        <v>39493</v>
      </c>
      <c r="E116">
        <v>160</v>
      </c>
      <c r="F116">
        <v>84.121951219512198</v>
      </c>
      <c r="G116">
        <v>7426856242.7735977</v>
      </c>
      <c r="H116">
        <v>126.307</v>
      </c>
      <c r="I116">
        <v>188055.00323534798</v>
      </c>
    </row>
    <row r="117" spans="1:9" x14ac:dyDescent="0.25">
      <c r="A117" s="4" t="s">
        <v>285</v>
      </c>
      <c r="B117" s="5" t="s">
        <v>285</v>
      </c>
      <c r="C117" t="str">
        <f>_xlfn.XLOOKUP(B117,'regions'!A:A,'regions'!F:F)</f>
        <v>Europe</v>
      </c>
      <c r="D117">
        <v>2831639</v>
      </c>
      <c r="E117">
        <v>65286</v>
      </c>
      <c r="F117">
        <v>75.643902439024387</v>
      </c>
      <c r="G117">
        <v>71033884499.782379</v>
      </c>
      <c r="H117">
        <v>135.834</v>
      </c>
      <c r="I117">
        <v>25085.784063499046</v>
      </c>
    </row>
    <row r="118" spans="1:9" x14ac:dyDescent="0.25">
      <c r="A118" s="2" t="s">
        <v>287</v>
      </c>
      <c r="B118" s="3" t="s">
        <v>287</v>
      </c>
      <c r="C118" t="str">
        <f>_xlfn.XLOOKUP(B118,'regions'!A:A,'regions'!F:F)</f>
        <v>Europe</v>
      </c>
      <c r="D118">
        <v>653103</v>
      </c>
      <c r="E118">
        <v>2590</v>
      </c>
      <c r="F118">
        <v>82.946341463414655</v>
      </c>
      <c r="G118">
        <v>80801680397.013931</v>
      </c>
      <c r="H118">
        <v>139.65100000000001</v>
      </c>
      <c r="I118">
        <v>123719.6589159963</v>
      </c>
    </row>
    <row r="119" spans="1:9" x14ac:dyDescent="0.25">
      <c r="A119" s="4" t="s">
        <v>289</v>
      </c>
      <c r="B119" s="5" t="s">
        <v>137</v>
      </c>
      <c r="C119" t="str">
        <f>_xlfn.XLOOKUP(B119,'regions'!A:A,'regions'!F:F)</f>
        <v>Asia</v>
      </c>
      <c r="D119">
        <v>677300</v>
      </c>
      <c r="E119">
        <v>33</v>
      </c>
      <c r="F119">
        <v>83.080487804878061</v>
      </c>
      <c r="G119">
        <v>24929307447.323727</v>
      </c>
      <c r="H119">
        <v>172.245</v>
      </c>
      <c r="I119">
        <v>36806.891255460985</v>
      </c>
    </row>
    <row r="120" spans="1:9" x14ac:dyDescent="0.25">
      <c r="A120" s="2" t="s">
        <v>291</v>
      </c>
      <c r="B120" s="3" t="s">
        <v>291</v>
      </c>
      <c r="C120" t="str">
        <f>_xlfn.XLOOKUP(B120,'regions'!A:A,'regions'!F:F)</f>
        <v>Africa</v>
      </c>
      <c r="D120">
        <v>30437261</v>
      </c>
      <c r="E120">
        <v>587295</v>
      </c>
      <c r="F120">
        <v>63.067999999999998</v>
      </c>
      <c r="G120">
        <v>15325603272.609709</v>
      </c>
      <c r="H120">
        <v>64.749499999999998</v>
      </c>
      <c r="I120">
        <v>503.51453347295961</v>
      </c>
    </row>
    <row r="121" spans="1:9" x14ac:dyDescent="0.25">
      <c r="A121" s="4" t="s">
        <v>293</v>
      </c>
      <c r="B121" s="5" t="s">
        <v>293</v>
      </c>
      <c r="C121" t="str">
        <f>_xlfn.XLOOKUP(B121,'regions'!A:A,'regions'!F:F)</f>
        <v>Africa</v>
      </c>
      <c r="D121">
        <v>20568728</v>
      </c>
      <c r="E121">
        <v>118480</v>
      </c>
      <c r="F121">
        <v>66.037000000000006</v>
      </c>
      <c r="G121">
        <v>12429059928.101988</v>
      </c>
      <c r="H121">
        <v>59.6496</v>
      </c>
      <c r="I121">
        <v>604.26974036031731</v>
      </c>
    </row>
    <row r="122" spans="1:9" x14ac:dyDescent="0.25">
      <c r="A122" s="2" t="s">
        <v>295</v>
      </c>
      <c r="B122" s="3" t="s">
        <v>295</v>
      </c>
      <c r="C122" t="str">
        <f>_xlfn.XLOOKUP(B122,'regions'!A:A,'regions'!F:F)</f>
        <v>Asia</v>
      </c>
      <c r="D122">
        <v>34695493</v>
      </c>
      <c r="E122">
        <v>330411</v>
      </c>
      <c r="F122">
        <v>75.444000000000003</v>
      </c>
      <c r="G122">
        <v>407830525989.55347</v>
      </c>
      <c r="H122">
        <v>138.208</v>
      </c>
      <c r="I122">
        <v>11754.567833624773</v>
      </c>
    </row>
    <row r="123" spans="1:9" x14ac:dyDescent="0.25">
      <c r="A123" s="4" t="s">
        <v>297</v>
      </c>
      <c r="B123" s="5" t="s">
        <v>297</v>
      </c>
      <c r="C123" t="str">
        <f>_xlfn.XLOOKUP(B123,'regions'!A:A,'regions'!F:F)</f>
        <v>Asia</v>
      </c>
      <c r="D123">
        <v>524106</v>
      </c>
      <c r="E123">
        <v>300</v>
      </c>
      <c r="F123">
        <v>80.760000000000005</v>
      </c>
      <c r="G123">
        <v>6177123352.2621107</v>
      </c>
      <c r="H123">
        <v>136.459</v>
      </c>
      <c r="I123">
        <v>11786.019149298254</v>
      </c>
    </row>
    <row r="124" spans="1:9" x14ac:dyDescent="0.25">
      <c r="A124" s="2" t="s">
        <v>299</v>
      </c>
      <c r="B124" s="3" t="s">
        <v>299</v>
      </c>
      <c r="C124" t="str">
        <f>_xlfn.XLOOKUP(B124,'regions'!A:A,'regions'!F:F)</f>
        <v>Africa</v>
      </c>
      <c r="D124">
        <v>23072640</v>
      </c>
      <c r="E124">
        <v>1240190</v>
      </c>
      <c r="F124">
        <v>60.034999999999997</v>
      </c>
      <c r="G124">
        <v>22539987718.764156</v>
      </c>
      <c r="H124">
        <v>112.12</v>
      </c>
      <c r="I124">
        <v>976.91411640645185</v>
      </c>
    </row>
    <row r="125" spans="1:9" x14ac:dyDescent="0.25">
      <c r="A125" s="4" t="s">
        <v>301</v>
      </c>
      <c r="B125" s="5" t="s">
        <v>301</v>
      </c>
      <c r="C125" t="str">
        <f>_xlfn.XLOOKUP(B125,'regions'!A:A,'regions'!F:F)</f>
        <v>Europe</v>
      </c>
      <c r="D125">
        <v>531113</v>
      </c>
      <c r="E125">
        <v>320</v>
      </c>
      <c r="F125">
        <v>82.448780487804896</v>
      </c>
      <c r="G125">
        <v>18928276162.413124</v>
      </c>
      <c r="H125">
        <v>132.86099999999999</v>
      </c>
      <c r="I125">
        <v>35638.886945740596</v>
      </c>
    </row>
    <row r="126" spans="1:9" x14ac:dyDescent="0.25">
      <c r="A126" s="2" t="s">
        <v>303</v>
      </c>
      <c r="B126" s="3" t="s">
        <v>303</v>
      </c>
      <c r="C126" t="str">
        <f>_xlfn.XLOOKUP(B126,'regions'!A:A,'regions'!F:F)</f>
        <v>Oceania</v>
      </c>
      <c r="D126">
        <v>40077</v>
      </c>
      <c r="E126">
        <v>180</v>
      </c>
      <c r="F126">
        <v>66.724999999999994</v>
      </c>
      <c r="G126">
        <v>258723510.74218801</v>
      </c>
      <c r="H126">
        <v>39.706099999999999</v>
      </c>
      <c r="I126">
        <v>6455.6606218576244</v>
      </c>
    </row>
    <row r="127" spans="1:9" x14ac:dyDescent="0.25">
      <c r="A127" s="4" t="s">
        <v>305</v>
      </c>
      <c r="B127" s="5" t="s">
        <v>305</v>
      </c>
      <c r="C127" t="str">
        <f>_xlfn.XLOOKUP(B127,'regions'!A:A,'regions'!F:F)</f>
        <v>Africa</v>
      </c>
      <c r="D127">
        <v>4875637</v>
      </c>
      <c r="E127">
        <v>1030700</v>
      </c>
      <c r="F127">
        <v>68.281000000000006</v>
      </c>
      <c r="G127">
        <v>9557966698.2536888</v>
      </c>
      <c r="H127">
        <v>109.884</v>
      </c>
      <c r="I127">
        <v>1960.3524007742351</v>
      </c>
    </row>
    <row r="128" spans="1:9" x14ac:dyDescent="0.25">
      <c r="A128" s="2" t="s">
        <v>307</v>
      </c>
      <c r="B128" s="3" t="s">
        <v>307</v>
      </c>
      <c r="C128" t="str">
        <f>_xlfn.XLOOKUP(B128,'regions'!A:A,'regions'!F:F)</f>
        <v>Africa</v>
      </c>
      <c r="D128">
        <v>1262523</v>
      </c>
      <c r="E128">
        <v>2010</v>
      </c>
      <c r="F128">
        <v>73.514634146341464</v>
      </c>
      <c r="G128">
        <v>12936444123.303709</v>
      </c>
      <c r="H128">
        <v>164.309</v>
      </c>
      <c r="I128">
        <v>10246.501745555295</v>
      </c>
    </row>
    <row r="129" spans="1:9" x14ac:dyDescent="0.25">
      <c r="A129" s="4" t="s">
        <v>309</v>
      </c>
      <c r="B129" s="5" t="s">
        <v>309</v>
      </c>
      <c r="C129" t="str">
        <f>_xlfn.XLOOKUP(B129,'regions'!A:A,'regions'!F:F)</f>
        <v>Americas</v>
      </c>
      <c r="D129">
        <v>128613117</v>
      </c>
      <c r="E129">
        <v>1959142.3</v>
      </c>
      <c r="F129">
        <v>73.972999999999999</v>
      </c>
      <c r="G129">
        <v>1466934724293.064</v>
      </c>
      <c r="H129">
        <v>105.71299999999999</v>
      </c>
      <c r="I129">
        <v>11405.79404737593</v>
      </c>
    </row>
    <row r="130" spans="1:9" x14ac:dyDescent="0.25">
      <c r="A130" s="2" t="s">
        <v>311</v>
      </c>
      <c r="B130" s="3" t="s">
        <v>504</v>
      </c>
      <c r="C130" t="str">
        <f>_xlfn.XLOOKUP(B130,'regions'!A:A,'regions'!F:F)</f>
        <v>Oceania</v>
      </c>
      <c r="D130">
        <v>112114</v>
      </c>
      <c r="E130">
        <v>700</v>
      </c>
      <c r="F130">
        <v>66.960999999999999</v>
      </c>
      <c r="G130">
        <v>415956900</v>
      </c>
      <c r="H130">
        <v>19.988600000000002</v>
      </c>
      <c r="I130">
        <v>3710.1245161175234</v>
      </c>
    </row>
    <row r="131" spans="1:9" x14ac:dyDescent="0.25">
      <c r="A131" s="4" t="s">
        <v>313</v>
      </c>
      <c r="B131" s="5" t="s">
        <v>505</v>
      </c>
      <c r="C131" t="str">
        <f>_xlfn.XLOOKUP(B131,'regions'!A:A,'regions'!F:F)</f>
        <v>Europe</v>
      </c>
      <c r="D131">
        <v>2528654</v>
      </c>
      <c r="E131">
        <v>33850</v>
      </c>
      <c r="F131">
        <v>71.546000000000006</v>
      </c>
      <c r="G131">
        <v>14525337523.727076</v>
      </c>
      <c r="H131">
        <v>137.18299999999999</v>
      </c>
      <c r="I131">
        <v>5744.2961843443491</v>
      </c>
    </row>
    <row r="132" spans="1:9" x14ac:dyDescent="0.25">
      <c r="A132" s="2" t="s">
        <v>315</v>
      </c>
      <c r="B132" s="3" t="s">
        <v>315</v>
      </c>
      <c r="C132" t="str">
        <f>_xlfn.XLOOKUP(B132,'regions'!A:A,'regions'!F:F)</f>
        <v>Europe</v>
      </c>
      <c r="D132">
        <v>38931</v>
      </c>
      <c r="E132">
        <v>74.900000000000006</v>
      </c>
      <c r="F132">
        <v>85.745999999999995</v>
      </c>
      <c r="G132">
        <v>8800430486.1713696</v>
      </c>
      <c r="H132">
        <v>100.062</v>
      </c>
      <c r="I132">
        <v>226052.00190520074</v>
      </c>
    </row>
    <row r="133" spans="1:9" x14ac:dyDescent="0.25">
      <c r="A133" s="4" t="s">
        <v>317</v>
      </c>
      <c r="B133" s="5" t="s">
        <v>317</v>
      </c>
      <c r="C133" t="str">
        <f>_xlfn.XLOOKUP(B133,'regions'!A:A,'regions'!F:F)</f>
        <v>Asia</v>
      </c>
      <c r="D133">
        <v>3433748</v>
      </c>
      <c r="E133">
        <v>1564120</v>
      </c>
      <c r="F133">
        <v>71.900731707317078</v>
      </c>
      <c r="G133">
        <v>17146471713.748024</v>
      </c>
      <c r="H133">
        <v>142.809</v>
      </c>
      <c r="I133">
        <v>4993.5148746349541</v>
      </c>
    </row>
    <row r="134" spans="1:9" x14ac:dyDescent="0.25">
      <c r="A134" s="2" t="s">
        <v>319</v>
      </c>
      <c r="B134" s="3" t="s">
        <v>319</v>
      </c>
      <c r="C134" t="str">
        <f>_xlfn.XLOOKUP(B134,'regions'!A:A,'regions'!F:F)</f>
        <v>Europe</v>
      </c>
      <c r="D134">
        <v>623591</v>
      </c>
      <c r="E134">
        <v>13810</v>
      </c>
      <c r="F134">
        <v>76.187804878048794</v>
      </c>
      <c r="G134">
        <v>6251215144.1347084</v>
      </c>
      <c r="H134">
        <v>207.27799999999999</v>
      </c>
      <c r="I134">
        <v>10024.543561620851</v>
      </c>
    </row>
    <row r="135" spans="1:9" x14ac:dyDescent="0.25">
      <c r="A135" s="4" t="s">
        <v>321</v>
      </c>
      <c r="B135" s="5" t="s">
        <v>321</v>
      </c>
      <c r="C135" t="str">
        <f>_xlfn.XLOOKUP(B135,'regions'!A:A,'regions'!F:F)</f>
        <v>Africa</v>
      </c>
      <c r="D135">
        <v>37329064</v>
      </c>
      <c r="E135">
        <v>446550</v>
      </c>
      <c r="F135">
        <v>75.161000000000001</v>
      </c>
      <c r="G135">
        <v>131245312804.48317</v>
      </c>
      <c r="H135">
        <v>141.87</v>
      </c>
      <c r="I135">
        <v>3463.1376953125</v>
      </c>
    </row>
    <row r="136" spans="1:9" x14ac:dyDescent="0.25">
      <c r="A136" s="2" t="s">
        <v>323</v>
      </c>
      <c r="B136" s="3" t="s">
        <v>323</v>
      </c>
      <c r="C136" t="str">
        <f>_xlfn.XLOOKUP(B136,'regions'!A:A,'regions'!F:F)</f>
        <v>Africa</v>
      </c>
      <c r="D136">
        <v>32656246</v>
      </c>
      <c r="E136">
        <v>799380</v>
      </c>
      <c r="F136">
        <v>63.011000000000003</v>
      </c>
      <c r="G136">
        <v>18883528581.373402</v>
      </c>
      <c r="H136">
        <v>45.817799999999998</v>
      </c>
      <c r="I136">
        <v>578.25166375135097</v>
      </c>
    </row>
    <row r="137" spans="1:9" x14ac:dyDescent="0.25">
      <c r="A137" s="4" t="s">
        <v>325</v>
      </c>
      <c r="B137" s="5" t="s">
        <v>325</v>
      </c>
      <c r="C137" t="str">
        <f>_xlfn.XLOOKUP(B137,'regions'!A:A,'regions'!F:F)</f>
        <v>Asia</v>
      </c>
      <c r="D137">
        <v>53756787</v>
      </c>
      <c r="E137">
        <v>676590</v>
      </c>
      <c r="F137">
        <v>66.506</v>
      </c>
      <c r="G137">
        <v>62253049903.280022</v>
      </c>
      <c r="H137">
        <v>107.535</v>
      </c>
      <c r="I137">
        <v>1158.0500505597558</v>
      </c>
    </row>
    <row r="138" spans="1:9" x14ac:dyDescent="0.25">
      <c r="A138" s="2" t="s">
        <v>327</v>
      </c>
      <c r="B138" s="3" t="s">
        <v>327</v>
      </c>
      <c r="C138" t="str">
        <f>_xlfn.XLOOKUP(B138,'regions'!A:A,'regions'!F:F)</f>
        <v>Africa</v>
      </c>
      <c r="D138">
        <v>2889662</v>
      </c>
      <c r="E138">
        <v>824290</v>
      </c>
      <c r="F138">
        <v>64.19</v>
      </c>
      <c r="G138">
        <v>12569449123.366074</v>
      </c>
      <c r="H138">
        <v>100.55800000000001</v>
      </c>
      <c r="I138">
        <v>4349.7990849331418</v>
      </c>
    </row>
    <row r="139" spans="1:9" x14ac:dyDescent="0.25">
      <c r="A139" s="4" t="s">
        <v>329</v>
      </c>
      <c r="B139" s="5" t="s">
        <v>329</v>
      </c>
      <c r="C139" t="str">
        <f>_xlfn.XLOOKUP(B139,'regions'!A:A,'regions'!F:F)</f>
        <v>Oceania</v>
      </c>
      <c r="D139">
        <v>11801</v>
      </c>
      <c r="E139">
        <v>20</v>
      </c>
      <c r="F139">
        <v>61.93</v>
      </c>
      <c r="G139">
        <v>152373433.90947422</v>
      </c>
      <c r="H139">
        <v>87.170599999999993</v>
      </c>
      <c r="I139">
        <v>12911.908644138142</v>
      </c>
    </row>
    <row r="140" spans="1:9" x14ac:dyDescent="0.25">
      <c r="A140" s="2" t="s">
        <v>331</v>
      </c>
      <c r="B140" s="3" t="s">
        <v>331</v>
      </c>
      <c r="C140" t="str">
        <f>_xlfn.XLOOKUP(B140,'regions'!A:A,'regions'!F:F)</f>
        <v>Asia</v>
      </c>
      <c r="D140">
        <v>29715436</v>
      </c>
      <c r="E140">
        <v>147180</v>
      </c>
      <c r="F140">
        <v>70.087000000000003</v>
      </c>
      <c r="G140">
        <v>41182939600.620857</v>
      </c>
      <c r="H140">
        <v>133.273</v>
      </c>
      <c r="I140">
        <v>1385.9106627485075</v>
      </c>
    </row>
    <row r="141" spans="1:9" x14ac:dyDescent="0.25">
      <c r="A141" s="4" t="s">
        <v>333</v>
      </c>
      <c r="B141" s="5" t="s">
        <v>506</v>
      </c>
      <c r="C141" t="str">
        <f>_xlfn.XLOOKUP(B141,'regions'!A:A,'regions'!F:F)</f>
        <v>Europe</v>
      </c>
      <c r="D141">
        <v>17700982</v>
      </c>
      <c r="E141">
        <v>41540</v>
      </c>
      <c r="F141">
        <v>81.614634146341473</v>
      </c>
      <c r="G141">
        <v>1046540797548.6422</v>
      </c>
      <c r="H141">
        <v>115.821</v>
      </c>
      <c r="I141">
        <v>59123.318556486993</v>
      </c>
    </row>
    <row r="142" spans="1:9" x14ac:dyDescent="0.25">
      <c r="A142" s="2" t="s">
        <v>335</v>
      </c>
      <c r="B142" s="3" t="s">
        <v>335</v>
      </c>
      <c r="C142" t="str">
        <f>_xlfn.XLOOKUP(B142,'regions'!A:A,'regions'!F:F)</f>
        <v>Oceania</v>
      </c>
      <c r="D142">
        <v>287123</v>
      </c>
      <c r="E142">
        <v>18580</v>
      </c>
      <c r="F142">
        <v>77.697999999999993</v>
      </c>
      <c r="G142">
        <v>9623318718.3145943</v>
      </c>
      <c r="H142">
        <v>91.676400000000001</v>
      </c>
      <c r="I142">
        <v>33516.363085906021</v>
      </c>
    </row>
    <row r="143" spans="1:9" x14ac:dyDescent="0.25">
      <c r="A143" s="4" t="s">
        <v>337</v>
      </c>
      <c r="B143" s="5" t="s">
        <v>337</v>
      </c>
      <c r="C143" t="str">
        <f>_xlfn.XLOOKUP(B143,'regions'!A:A,'regions'!F:F)</f>
        <v>Oceania</v>
      </c>
      <c r="D143">
        <v>5081700</v>
      </c>
      <c r="E143">
        <v>267710</v>
      </c>
      <c r="F143">
        <v>81.958536585365849</v>
      </c>
      <c r="G143">
        <v>249509991440.43759</v>
      </c>
      <c r="H143">
        <v>115.98399999999999</v>
      </c>
      <c r="I143">
        <v>49099.709042335751</v>
      </c>
    </row>
    <row r="144" spans="1:9" x14ac:dyDescent="0.25">
      <c r="A144" s="2" t="s">
        <v>339</v>
      </c>
      <c r="B144" s="3" t="s">
        <v>339</v>
      </c>
      <c r="C144" t="str">
        <f>_xlfn.XLOOKUP(B144,'regions'!A:A,'regions'!F:F)</f>
        <v>Americas</v>
      </c>
      <c r="D144">
        <v>6730654</v>
      </c>
      <c r="E144">
        <v>130370</v>
      </c>
      <c r="F144">
        <v>74.462999999999994</v>
      </c>
      <c r="G144">
        <v>15634572502.229374</v>
      </c>
      <c r="H144">
        <v>104.27800000000001</v>
      </c>
      <c r="I144">
        <v>2322.8905396458313</v>
      </c>
    </row>
    <row r="145" spans="1:9" x14ac:dyDescent="0.25">
      <c r="A145" s="4" t="s">
        <v>341</v>
      </c>
      <c r="B145" s="5" t="s">
        <v>341</v>
      </c>
      <c r="C145" t="str">
        <f>_xlfn.XLOOKUP(B145,'regions'!A:A,'regions'!F:F)</f>
        <v>Africa</v>
      </c>
      <c r="D145">
        <v>25311973</v>
      </c>
      <c r="E145">
        <v>1267000</v>
      </c>
      <c r="F145">
        <v>60.398000000000003</v>
      </c>
      <c r="G145">
        <v>15433852712.296335</v>
      </c>
      <c r="H145">
        <v>63.377099999999999</v>
      </c>
      <c r="I145">
        <v>609.74514757487827</v>
      </c>
    </row>
    <row r="146" spans="1:9" x14ac:dyDescent="0.25">
      <c r="A146" s="2" t="s">
        <v>343</v>
      </c>
      <c r="B146" s="3" t="s">
        <v>343</v>
      </c>
      <c r="C146" t="str">
        <f>_xlfn.XLOOKUP(B146,'regions'!A:A,'regions'!F:F)</f>
        <v>Africa</v>
      </c>
      <c r="D146">
        <v>223150896</v>
      </c>
      <c r="E146">
        <v>923770</v>
      </c>
      <c r="F146">
        <v>54.079000000000001</v>
      </c>
      <c r="G146">
        <v>646950257577.81396</v>
      </c>
      <c r="H146">
        <v>99.5852</v>
      </c>
      <c r="I146">
        <v>2899.1604747032429</v>
      </c>
    </row>
    <row r="147" spans="1:9" x14ac:dyDescent="0.25">
      <c r="A147" s="4" t="s">
        <v>345</v>
      </c>
      <c r="B147" s="5" t="s">
        <v>345</v>
      </c>
      <c r="C147" t="str">
        <f>_xlfn.XLOOKUP(B147,'regions'!A:A,'regions'!F:F)</f>
        <v>Europe</v>
      </c>
      <c r="D147">
        <v>1831712</v>
      </c>
      <c r="E147">
        <v>25710</v>
      </c>
      <c r="F147">
        <v>74.424878048780499</v>
      </c>
      <c r="G147">
        <v>13932436550.088305</v>
      </c>
      <c r="H147">
        <v>111.303</v>
      </c>
      <c r="I147">
        <v>7606.2375253797018</v>
      </c>
    </row>
    <row r="148" spans="1:9" x14ac:dyDescent="0.25">
      <c r="A148" s="2" t="s">
        <v>347</v>
      </c>
      <c r="B148" s="3" t="s">
        <v>347</v>
      </c>
      <c r="C148" t="str">
        <f>_xlfn.XLOOKUP(B148,'regions'!A:A,'regions'!F:F)</f>
        <v>Oceania</v>
      </c>
      <c r="D148">
        <v>46078</v>
      </c>
      <c r="E148">
        <v>460</v>
      </c>
      <c r="F148">
        <v>78.531000000000006</v>
      </c>
      <c r="G148">
        <v>1096000000</v>
      </c>
      <c r="I148">
        <v>23785.754590042972</v>
      </c>
    </row>
    <row r="149" spans="1:9" x14ac:dyDescent="0.25">
      <c r="A149" s="4" t="s">
        <v>349</v>
      </c>
      <c r="B149" s="5" t="s">
        <v>349</v>
      </c>
      <c r="C149" t="str">
        <f>_xlfn.XLOOKUP(B149,'regions'!A:A,'regions'!F:F)</f>
        <v>Europe</v>
      </c>
      <c r="D149">
        <v>5457127</v>
      </c>
      <c r="E149">
        <v>624500</v>
      </c>
      <c r="F149">
        <v>82.509756097560981</v>
      </c>
      <c r="G149">
        <v>596297651035.79773</v>
      </c>
      <c r="H149">
        <v>111.657</v>
      </c>
      <c r="I149">
        <v>109269.52058029761</v>
      </c>
    </row>
    <row r="150" spans="1:9" x14ac:dyDescent="0.25">
      <c r="A150" s="2" t="s">
        <v>351</v>
      </c>
      <c r="B150" s="3" t="s">
        <v>351</v>
      </c>
      <c r="C150" t="str">
        <f>_xlfn.XLOOKUP(B150,'regions'!A:A,'regions'!F:F)</f>
        <v>Asia</v>
      </c>
      <c r="D150">
        <v>4730226</v>
      </c>
      <c r="E150">
        <v>309500</v>
      </c>
      <c r="F150">
        <v>77.911000000000001</v>
      </c>
      <c r="G150">
        <v>109852795838.75162</v>
      </c>
      <c r="H150">
        <v>136.80099999999999</v>
      </c>
      <c r="I150">
        <v>23223.582940593456</v>
      </c>
    </row>
    <row r="151" spans="1:9" x14ac:dyDescent="0.25">
      <c r="A151" s="4" t="s">
        <v>353</v>
      </c>
      <c r="B151" s="5" t="s">
        <v>353</v>
      </c>
      <c r="C151" t="str">
        <f>_xlfn.XLOOKUP(B151,'regions'!A:A,'regions'!F:F)</f>
        <v>Asia</v>
      </c>
      <c r="D151">
        <v>243700667</v>
      </c>
      <c r="E151">
        <v>796100</v>
      </c>
      <c r="F151">
        <v>67.417000000000002</v>
      </c>
      <c r="G151">
        <v>374890295666.69366</v>
      </c>
      <c r="H151">
        <v>79.105099999999993</v>
      </c>
      <c r="I151">
        <v>1538.3228133170996</v>
      </c>
    </row>
    <row r="152" spans="1:9" x14ac:dyDescent="0.25">
      <c r="A152" s="2" t="s">
        <v>355</v>
      </c>
      <c r="B152" s="3" t="s">
        <v>355</v>
      </c>
      <c r="C152" t="str">
        <f>_xlfn.XLOOKUP(B152,'regions'!A:A,'regions'!F:F)</f>
        <v>Oceania</v>
      </c>
      <c r="D152">
        <v>17759</v>
      </c>
      <c r="E152">
        <v>460</v>
      </c>
      <c r="F152">
        <v>68.921999999999997</v>
      </c>
      <c r="G152">
        <v>243826812.74414098</v>
      </c>
      <c r="H152">
        <v>135.143</v>
      </c>
      <c r="I152">
        <v>13729.760276149613</v>
      </c>
    </row>
    <row r="153" spans="1:9" x14ac:dyDescent="0.25">
      <c r="A153" s="4" t="s">
        <v>357</v>
      </c>
      <c r="B153" s="5" t="s">
        <v>357</v>
      </c>
      <c r="C153" t="str">
        <f>_xlfn.XLOOKUP(B153,'regions'!A:A,'regions'!F:F)</f>
        <v>Americas</v>
      </c>
      <c r="D153">
        <v>4400773</v>
      </c>
      <c r="E153">
        <v>75320</v>
      </c>
      <c r="F153">
        <v>79.323999999999998</v>
      </c>
      <c r="G153">
        <v>76479304470.9375</v>
      </c>
      <c r="H153">
        <v>152.06200000000001</v>
      </c>
      <c r="I153">
        <v>17378.607001755714</v>
      </c>
    </row>
    <row r="154" spans="1:9" x14ac:dyDescent="0.25">
      <c r="A154" s="2" t="s">
        <v>359</v>
      </c>
      <c r="B154" s="3" t="s">
        <v>359</v>
      </c>
      <c r="C154" t="str">
        <f>_xlfn.XLOOKUP(B154,'regions'!A:A,'regions'!F:F)</f>
        <v>Oceania</v>
      </c>
      <c r="D154">
        <v>10203169</v>
      </c>
      <c r="E154">
        <v>462840</v>
      </c>
      <c r="F154">
        <v>65.274000000000001</v>
      </c>
      <c r="G154">
        <v>31653185952.608952</v>
      </c>
      <c r="H154">
        <v>49.1907</v>
      </c>
      <c r="I154">
        <v>3102.2896859406083</v>
      </c>
    </row>
    <row r="155" spans="1:9" x14ac:dyDescent="0.25">
      <c r="A155" s="4" t="s">
        <v>361</v>
      </c>
      <c r="B155" s="5" t="s">
        <v>361</v>
      </c>
      <c r="C155" t="str">
        <f>_xlfn.XLOOKUP(B155,'regions'!A:A,'regions'!F:F)</f>
        <v>Americas</v>
      </c>
      <c r="D155">
        <v>6760464</v>
      </c>
      <c r="E155">
        <v>406752</v>
      </c>
      <c r="F155">
        <v>72.319000000000003</v>
      </c>
      <c r="G155">
        <v>41952910858.084557</v>
      </c>
      <c r="H155">
        <v>128.08799999999999</v>
      </c>
      <c r="I155">
        <v>6205.6259537931946</v>
      </c>
    </row>
    <row r="156" spans="1:9" x14ac:dyDescent="0.25">
      <c r="A156" s="2" t="s">
        <v>363</v>
      </c>
      <c r="B156" s="3" t="s">
        <v>363</v>
      </c>
      <c r="C156" t="str">
        <f>_xlfn.XLOOKUP(B156,'regions'!A:A,'regions'!F:F)</f>
        <v>Americas</v>
      </c>
      <c r="D156">
        <v>33475438</v>
      </c>
      <c r="E156">
        <v>1285220</v>
      </c>
      <c r="F156">
        <v>76.834000000000003</v>
      </c>
      <c r="G156">
        <v>246065570308.15494</v>
      </c>
      <c r="H156">
        <v>124.119</v>
      </c>
      <c r="I156">
        <v>7350.6303430041735</v>
      </c>
    </row>
    <row r="157" spans="1:9" x14ac:dyDescent="0.25">
      <c r="A157" s="4" t="s">
        <v>365</v>
      </c>
      <c r="B157" s="5" t="s">
        <v>365</v>
      </c>
      <c r="C157" t="str">
        <f>_xlfn.XLOOKUP(B157,'regions'!A:A,'regions'!F:F)</f>
        <v>Asia</v>
      </c>
      <c r="D157">
        <v>113964338</v>
      </c>
      <c r="E157">
        <v>300000</v>
      </c>
      <c r="F157">
        <v>69.471999999999994</v>
      </c>
      <c r="G157">
        <v>404353369604.6311</v>
      </c>
      <c r="H157">
        <v>147.429</v>
      </c>
      <c r="I157">
        <v>3548.0693057211556</v>
      </c>
    </row>
    <row r="158" spans="1:9" x14ac:dyDescent="0.25">
      <c r="A158" s="2" t="s">
        <v>367</v>
      </c>
      <c r="B158" s="3" t="s">
        <v>367</v>
      </c>
      <c r="C158" t="str">
        <f>_xlfn.XLOOKUP(B158,'regions'!A:A,'regions'!F:F)</f>
        <v>Europe</v>
      </c>
      <c r="D158">
        <v>36821749</v>
      </c>
      <c r="E158">
        <v>312720</v>
      </c>
      <c r="F158">
        <v>77.156097560975624</v>
      </c>
      <c r="G158">
        <v>695607470875.27625</v>
      </c>
      <c r="H158">
        <v>137.00200000000001</v>
      </c>
      <c r="I158">
        <v>18891.212116927858</v>
      </c>
    </row>
    <row r="159" spans="1:9" x14ac:dyDescent="0.25">
      <c r="A159" s="4" t="s">
        <v>369</v>
      </c>
      <c r="B159" s="5" t="s">
        <v>369</v>
      </c>
      <c r="C159" t="str">
        <f>_xlfn.XLOOKUP(B159,'regions'!A:A,'regions'!F:F)</f>
        <v>Europe</v>
      </c>
      <c r="D159">
        <v>10434332</v>
      </c>
      <c r="E159">
        <v>92230</v>
      </c>
      <c r="F159">
        <v>81.631707317073193</v>
      </c>
      <c r="G159">
        <v>256898677175.02435</v>
      </c>
      <c r="H159">
        <v>122.801</v>
      </c>
      <c r="I159">
        <v>24620.519758718081</v>
      </c>
    </row>
    <row r="160" spans="1:9" x14ac:dyDescent="0.25">
      <c r="A160" s="2" t="s">
        <v>371</v>
      </c>
      <c r="B160" s="3" t="s">
        <v>507</v>
      </c>
      <c r="C160" t="str">
        <f>_xlfn.XLOOKUP(B160,'regions'!A:A,'regions'!F:F)</f>
        <v>Americas</v>
      </c>
      <c r="D160">
        <v>3220137</v>
      </c>
      <c r="E160">
        <v>8870</v>
      </c>
      <c r="F160">
        <v>79.427000000000007</v>
      </c>
      <c r="G160">
        <v>113843700000</v>
      </c>
      <c r="H160">
        <v>120.21599999999999</v>
      </c>
      <c r="I160">
        <v>35353.682157001393</v>
      </c>
    </row>
    <row r="161" spans="1:9" x14ac:dyDescent="0.25">
      <c r="A161" s="4" t="s">
        <v>373</v>
      </c>
      <c r="B161" s="5" t="s">
        <v>373</v>
      </c>
      <c r="C161" t="str">
        <f>_xlfn.XLOOKUP(B161,'regions'!A:A,'regions'!F:F)</f>
        <v>Asia</v>
      </c>
      <c r="D161">
        <v>2657333</v>
      </c>
      <c r="E161">
        <v>11490</v>
      </c>
      <c r="F161">
        <v>81.856999999999999</v>
      </c>
      <c r="G161">
        <v>235709340659.34064</v>
      </c>
      <c r="H161">
        <v>162.249</v>
      </c>
      <c r="I161">
        <v>88701.468976353601</v>
      </c>
    </row>
    <row r="162" spans="1:9" x14ac:dyDescent="0.25">
      <c r="A162" s="2" t="s">
        <v>375</v>
      </c>
      <c r="B162" s="3" t="s">
        <v>375</v>
      </c>
      <c r="C162" t="str">
        <f>_xlfn.XLOOKUP(B162,'regions'!A:A,'regions'!F:F)</f>
        <v>Europe</v>
      </c>
      <c r="D162">
        <v>19048502</v>
      </c>
      <c r="E162">
        <v>238400</v>
      </c>
      <c r="F162">
        <v>75.153658536585368</v>
      </c>
      <c r="G162">
        <v>295319437556.9881</v>
      </c>
      <c r="H162">
        <v>121.142</v>
      </c>
      <c r="I162">
        <v>15503.551804597973</v>
      </c>
    </row>
    <row r="163" spans="1:9" x14ac:dyDescent="0.25">
      <c r="A163" s="4" t="s">
        <v>377</v>
      </c>
      <c r="B163" s="5" t="s">
        <v>377</v>
      </c>
      <c r="C163" t="str">
        <f>_xlfn.XLOOKUP(B163,'regions'!A:A,'regions'!F:F)</f>
        <v>Europe</v>
      </c>
      <c r="D163">
        <v>144236933</v>
      </c>
      <c r="E163">
        <v>17125190</v>
      </c>
      <c r="F163">
        <v>72.545609756097576</v>
      </c>
      <c r="G163">
        <v>2291612121334.6431</v>
      </c>
      <c r="H163">
        <v>168.476</v>
      </c>
      <c r="I163">
        <v>15619.6142578125</v>
      </c>
    </row>
    <row r="164" spans="1:9" x14ac:dyDescent="0.25">
      <c r="A164" s="2" t="s">
        <v>379</v>
      </c>
      <c r="B164" s="3" t="s">
        <v>379</v>
      </c>
      <c r="C164" t="str">
        <f>_xlfn.XLOOKUP(B164,'regions'!A:A,'regions'!F:F)</f>
        <v>Africa</v>
      </c>
      <c r="D164">
        <v>13651030</v>
      </c>
      <c r="E164">
        <v>26340</v>
      </c>
      <c r="F164">
        <v>67.528000000000006</v>
      </c>
      <c r="G164">
        <v>13316161002.391228</v>
      </c>
      <c r="H164">
        <v>80.595200000000006</v>
      </c>
      <c r="I164">
        <v>975.46932373536856</v>
      </c>
    </row>
    <row r="165" spans="1:9" x14ac:dyDescent="0.25">
      <c r="A165" s="4" t="s">
        <v>381</v>
      </c>
      <c r="B165" s="5" t="s">
        <v>381</v>
      </c>
      <c r="C165" t="str">
        <f>_xlfn.XLOOKUP(B165,'regions'!A:A,'regions'!F:F)</f>
        <v>Oceania</v>
      </c>
      <c r="D165">
        <v>215261</v>
      </c>
      <c r="E165">
        <v>2840</v>
      </c>
      <c r="F165">
        <v>71.55</v>
      </c>
      <c r="G165">
        <v>889554711.84234059</v>
      </c>
      <c r="H165">
        <v>62.398699999999998</v>
      </c>
      <c r="I165">
        <v>4132.4471773444357</v>
      </c>
    </row>
    <row r="166" spans="1:9" x14ac:dyDescent="0.25">
      <c r="A166" s="2" t="s">
        <v>383</v>
      </c>
      <c r="B166" s="3" t="s">
        <v>383</v>
      </c>
      <c r="C166" t="str">
        <f>_xlfn.XLOOKUP(B166,'regions'!A:A,'regions'!F:F)</f>
        <v>Europe</v>
      </c>
      <c r="D166">
        <v>33755</v>
      </c>
      <c r="E166">
        <v>60</v>
      </c>
      <c r="F166">
        <v>85.707999999999998</v>
      </c>
      <c r="G166">
        <v>1829211863.9476042</v>
      </c>
      <c r="H166">
        <v>120.27</v>
      </c>
      <c r="I166">
        <v>54190.841770037157</v>
      </c>
    </row>
    <row r="167" spans="1:9" x14ac:dyDescent="0.25">
      <c r="A167" s="4" t="s">
        <v>385</v>
      </c>
      <c r="B167" s="5" t="s">
        <v>385</v>
      </c>
      <c r="C167" t="str">
        <f>_xlfn.XLOOKUP(B167,'regions'!A:A,'regions'!F:F)</f>
        <v>Africa</v>
      </c>
      <c r="D167">
        <v>226305</v>
      </c>
      <c r="E167">
        <v>960</v>
      </c>
      <c r="F167">
        <v>69.236999999999995</v>
      </c>
      <c r="G167">
        <v>540809499.18934846</v>
      </c>
      <c r="H167">
        <v>86.778499999999994</v>
      </c>
      <c r="I167">
        <v>2389.7372978473672</v>
      </c>
    </row>
    <row r="168" spans="1:9" x14ac:dyDescent="0.25">
      <c r="A168" s="2" t="s">
        <v>387</v>
      </c>
      <c r="B168" s="3" t="s">
        <v>387</v>
      </c>
      <c r="C168" t="str">
        <f>_xlfn.XLOOKUP(B168,'regions'!A:A,'regions'!F:F)</f>
        <v>Asia</v>
      </c>
      <c r="D168">
        <v>32175224</v>
      </c>
      <c r="E168">
        <v>2149690</v>
      </c>
      <c r="F168">
        <v>77.31</v>
      </c>
      <c r="G168">
        <v>1239075200000</v>
      </c>
      <c r="H168">
        <v>149.798</v>
      </c>
      <c r="I168">
        <v>38510.227621103739</v>
      </c>
    </row>
    <row r="169" spans="1:9" x14ac:dyDescent="0.25">
      <c r="A169" s="4" t="s">
        <v>389</v>
      </c>
      <c r="B169" s="5" t="s">
        <v>389</v>
      </c>
      <c r="C169" t="str">
        <f>_xlfn.XLOOKUP(B169,'regions'!A:A,'regions'!F:F)</f>
        <v>Africa</v>
      </c>
      <c r="D169">
        <v>17651103</v>
      </c>
      <c r="E169">
        <v>196710</v>
      </c>
      <c r="F169">
        <v>67.787999999999997</v>
      </c>
      <c r="G169">
        <v>27783332222.675926</v>
      </c>
      <c r="H169">
        <v>118.15</v>
      </c>
      <c r="I169">
        <v>1574.0281059305996</v>
      </c>
    </row>
    <row r="170" spans="1:9" x14ac:dyDescent="0.25">
      <c r="A170" s="2" t="s">
        <v>391</v>
      </c>
      <c r="B170" s="3" t="s">
        <v>391</v>
      </c>
      <c r="C170" t="str">
        <f>_xlfn.XLOOKUP(B170,'regions'!A:A,'regions'!F:F)</f>
        <v>Europe</v>
      </c>
      <c r="D170">
        <v>6664449</v>
      </c>
      <c r="E170">
        <v>84990</v>
      </c>
      <c r="F170">
        <v>75.236585365853671</v>
      </c>
      <c r="G170">
        <v>66809895701.215157</v>
      </c>
      <c r="H170">
        <v>129.81299999999999</v>
      </c>
      <c r="I170">
        <v>10024.819111259634</v>
      </c>
    </row>
    <row r="171" spans="1:9" x14ac:dyDescent="0.25">
      <c r="A171" s="4" t="s">
        <v>393</v>
      </c>
      <c r="B171" s="5" t="s">
        <v>393</v>
      </c>
      <c r="C171" t="str">
        <f>_xlfn.XLOOKUP(B171,'regions'!A:A,'regions'!F:F)</f>
        <v>Africa</v>
      </c>
      <c r="D171">
        <v>119878</v>
      </c>
      <c r="E171">
        <v>460</v>
      </c>
      <c r="F171">
        <v>73.702439024390259</v>
      </c>
      <c r="G171">
        <v>2018346588.7375247</v>
      </c>
      <c r="H171">
        <v>163.43</v>
      </c>
      <c r="I171">
        <v>16836.672189538738</v>
      </c>
    </row>
    <row r="172" spans="1:9" x14ac:dyDescent="0.25">
      <c r="A172" s="2" t="s">
        <v>395</v>
      </c>
      <c r="B172" s="3" t="s">
        <v>395</v>
      </c>
      <c r="C172" t="str">
        <f>_xlfn.XLOOKUP(B172,'regions'!A:A,'regions'!F:F)</f>
        <v>Africa</v>
      </c>
      <c r="D172">
        <v>8276807</v>
      </c>
      <c r="E172">
        <v>72300</v>
      </c>
      <c r="F172">
        <v>61.274999999999999</v>
      </c>
      <c r="G172">
        <v>7121125277.5254221</v>
      </c>
      <c r="H172">
        <v>107.88200000000001</v>
      </c>
      <c r="I172">
        <v>860.37106791609642</v>
      </c>
    </row>
    <row r="173" spans="1:9" x14ac:dyDescent="0.25">
      <c r="A173" s="4" t="s">
        <v>397</v>
      </c>
      <c r="B173" s="5" t="s">
        <v>397</v>
      </c>
      <c r="C173" t="str">
        <f>_xlfn.XLOOKUP(B173,'regions'!A:A,'regions'!F:F)</f>
        <v>Asia</v>
      </c>
      <c r="D173">
        <v>5637022</v>
      </c>
      <c r="E173">
        <v>728</v>
      </c>
      <c r="F173">
        <v>82.895121951219522</v>
      </c>
      <c r="G173">
        <v>509017841146.55676</v>
      </c>
      <c r="H173">
        <v>173.005</v>
      </c>
      <c r="I173">
        <v>90299.069463726904</v>
      </c>
    </row>
    <row r="174" spans="1:9" x14ac:dyDescent="0.25">
      <c r="A174" s="2" t="s">
        <v>399</v>
      </c>
      <c r="B174" s="3" t="s">
        <v>399</v>
      </c>
      <c r="C174" t="str">
        <f>_xlfn.XLOOKUP(B174,'regions'!A:A,'regions'!F:F)</f>
        <v>Americas</v>
      </c>
      <c r="D174">
        <v>42139</v>
      </c>
      <c r="E174">
        <v>34</v>
      </c>
      <c r="F174">
        <v>76.180000000000007</v>
      </c>
      <c r="G174">
        <v>1592564639.3296089</v>
      </c>
      <c r="H174">
        <v>205.37299999999999</v>
      </c>
      <c r="I174">
        <v>37793.12843991573</v>
      </c>
    </row>
    <row r="175" spans="1:9" x14ac:dyDescent="0.25">
      <c r="A175" s="4" t="s">
        <v>401</v>
      </c>
      <c r="B175" s="5" t="s">
        <v>129</v>
      </c>
      <c r="C175" t="str">
        <f>_xlfn.XLOOKUP(B175,'regions'!A:A,'regions'!F:F)</f>
        <v>Africa</v>
      </c>
      <c r="D175">
        <v>5431752</v>
      </c>
      <c r="E175">
        <v>49030</v>
      </c>
      <c r="F175">
        <v>76.965853658536588</v>
      </c>
      <c r="G175">
        <v>115792972358.20862</v>
      </c>
      <c r="H175">
        <v>136.029</v>
      </c>
      <c r="I175">
        <v>21317.794398236263</v>
      </c>
    </row>
    <row r="176" spans="1:9" x14ac:dyDescent="0.25">
      <c r="A176" s="2" t="s">
        <v>403</v>
      </c>
      <c r="B176" s="3" t="s">
        <v>403</v>
      </c>
      <c r="C176" t="str">
        <f>_xlfn.XLOOKUP(B176,'regions'!A:A,'regions'!F:F)</f>
        <v>Europe</v>
      </c>
      <c r="D176">
        <v>2112076</v>
      </c>
      <c r="E176">
        <v>20480</v>
      </c>
      <c r="F176">
        <v>81.282926829268291</v>
      </c>
      <c r="G176">
        <v>59899117741.002182</v>
      </c>
      <c r="H176">
        <v>126.459</v>
      </c>
      <c r="I176">
        <v>28360.304146726812</v>
      </c>
    </row>
    <row r="177" spans="1:9" x14ac:dyDescent="0.25">
      <c r="A177" s="4" t="s">
        <v>405</v>
      </c>
      <c r="B177" s="5" t="s">
        <v>405</v>
      </c>
      <c r="C177" t="str">
        <f>_xlfn.XLOOKUP(B177,'regions'!A:A,'regions'!F:F)</f>
        <v>Oceania</v>
      </c>
      <c r="D177">
        <v>781066</v>
      </c>
      <c r="E177">
        <v>28900</v>
      </c>
      <c r="F177">
        <v>70.409000000000006</v>
      </c>
      <c r="G177">
        <v>1466670929.6233268</v>
      </c>
      <c r="H177">
        <v>62.073500000000003</v>
      </c>
      <c r="I177">
        <v>1877.7810449095555</v>
      </c>
    </row>
    <row r="178" spans="1:9" x14ac:dyDescent="0.25">
      <c r="A178" s="2" t="s">
        <v>407</v>
      </c>
      <c r="B178" s="3" t="s">
        <v>299</v>
      </c>
      <c r="C178" t="str">
        <f>_xlfn.XLOOKUP(B178,'regions'!A:A,'regions'!F:F)</f>
        <v>Africa</v>
      </c>
      <c r="D178">
        <v>17801897</v>
      </c>
      <c r="E178">
        <v>637660</v>
      </c>
      <c r="F178">
        <v>53.930999999999997</v>
      </c>
      <c r="G178">
        <v>10203000000</v>
      </c>
      <c r="H178">
        <v>49.680100000000003</v>
      </c>
      <c r="I178">
        <v>573.14116579822928</v>
      </c>
    </row>
    <row r="179" spans="1:9" x14ac:dyDescent="0.25">
      <c r="A179" s="4" t="s">
        <v>409</v>
      </c>
      <c r="B179" s="5" t="s">
        <v>409</v>
      </c>
      <c r="C179" t="str">
        <f>_xlfn.XLOOKUP(B179,'regions'!A:A,'regions'!F:F)</f>
        <v>Africa</v>
      </c>
      <c r="D179">
        <v>62378410</v>
      </c>
      <c r="E179">
        <v>1219090</v>
      </c>
      <c r="F179">
        <v>65.453999999999994</v>
      </c>
      <c r="G179">
        <v>407596043067.88525</v>
      </c>
      <c r="H179">
        <v>160.72900000000001</v>
      </c>
      <c r="I179">
        <v>6534.2486778339689</v>
      </c>
    </row>
    <row r="180" spans="1:9" x14ac:dyDescent="0.25">
      <c r="A180" s="2" t="s">
        <v>411</v>
      </c>
      <c r="B180" s="3" t="s">
        <v>411</v>
      </c>
      <c r="C180" t="str">
        <f>_xlfn.XLOOKUP(B180,'regions'!A:A,'regions'!F:F)</f>
        <v>Africa</v>
      </c>
      <c r="D180">
        <v>11021177</v>
      </c>
      <c r="E180">
        <v>646883</v>
      </c>
      <c r="F180">
        <v>57.203000000000003</v>
      </c>
      <c r="H180">
        <v>48.488799999999998</v>
      </c>
    </row>
    <row r="181" spans="1:9" x14ac:dyDescent="0.25">
      <c r="A181" s="4" t="s">
        <v>413</v>
      </c>
      <c r="B181" s="5" t="s">
        <v>413</v>
      </c>
      <c r="C181" t="str">
        <f>_xlfn.XLOOKUP(B181,'regions'!A:A,'regions'!F:F)</f>
        <v>Europe</v>
      </c>
      <c r="D181">
        <v>47786102</v>
      </c>
      <c r="E181">
        <v>505978.28100000002</v>
      </c>
      <c r="F181">
        <v>83.134146341463421</v>
      </c>
      <c r="G181">
        <v>1448850658406.6204</v>
      </c>
      <c r="H181">
        <v>123.4</v>
      </c>
      <c r="I181">
        <v>30319.498719661635</v>
      </c>
    </row>
    <row r="182" spans="1:9" x14ac:dyDescent="0.25">
      <c r="A182" s="2" t="s">
        <v>415</v>
      </c>
      <c r="B182" s="3" t="s">
        <v>415</v>
      </c>
      <c r="C182" t="str">
        <f>_xlfn.XLOOKUP(B182,'regions'!A:A,'regions'!F:F)</f>
        <v>Asia</v>
      </c>
      <c r="D182">
        <v>22181000</v>
      </c>
      <c r="E182">
        <v>65610</v>
      </c>
      <c r="F182">
        <v>77.3</v>
      </c>
      <c r="G182">
        <v>74143020262.807648</v>
      </c>
      <c r="H182">
        <v>151.727</v>
      </c>
      <c r="I182">
        <v>3342.636502538553</v>
      </c>
    </row>
    <row r="183" spans="1:9" x14ac:dyDescent="0.25">
      <c r="A183" s="4" t="s">
        <v>417</v>
      </c>
      <c r="B183" s="5" t="s">
        <v>508</v>
      </c>
      <c r="C183" t="str">
        <f>_xlfn.XLOOKUP(B183,'regions'!A:A,'regions'!F:F)</f>
        <v>Americas</v>
      </c>
      <c r="D183">
        <v>46709</v>
      </c>
      <c r="E183">
        <v>260</v>
      </c>
      <c r="F183">
        <v>70.313000000000002</v>
      </c>
      <c r="G183">
        <v>981429629.62962961</v>
      </c>
      <c r="H183">
        <v>116.92400000000001</v>
      </c>
      <c r="I183">
        <v>21011.5744209816</v>
      </c>
    </row>
    <row r="184" spans="1:9" x14ac:dyDescent="0.25">
      <c r="A184" s="2" t="s">
        <v>419</v>
      </c>
      <c r="B184" s="3" t="s">
        <v>509</v>
      </c>
      <c r="C184" t="str">
        <f>_xlfn.XLOOKUP(B184,'regions'!A:A,'regions'!F:F)</f>
        <v>Americas</v>
      </c>
      <c r="D184">
        <v>178781</v>
      </c>
      <c r="E184">
        <v>620</v>
      </c>
      <c r="F184">
        <v>72.67</v>
      </c>
      <c r="G184">
        <v>2342714814.8148146</v>
      </c>
      <c r="H184">
        <v>98.667599999999993</v>
      </c>
      <c r="I184">
        <v>13103.824314747175</v>
      </c>
    </row>
    <row r="185" spans="1:9" x14ac:dyDescent="0.25">
      <c r="A185" s="4" t="s">
        <v>421</v>
      </c>
      <c r="B185" s="5" t="s">
        <v>510</v>
      </c>
      <c r="C185" t="str">
        <f>_xlfn.XLOOKUP(B185,'regions'!A:A,'regions'!F:F)</f>
        <v>Americas</v>
      </c>
      <c r="D185">
        <v>28870</v>
      </c>
      <c r="E185">
        <v>50</v>
      </c>
      <c r="F185">
        <v>80.236000000000004</v>
      </c>
    </row>
    <row r="186" spans="1:9" x14ac:dyDescent="0.25">
      <c r="A186" s="2" t="s">
        <v>423</v>
      </c>
      <c r="B186" s="3" t="s">
        <v>511</v>
      </c>
      <c r="C186" t="str">
        <f>_xlfn.XLOOKUP(B186,'regions'!A:A,'regions'!F:F)</f>
        <v>Americas</v>
      </c>
      <c r="D186">
        <v>102046</v>
      </c>
      <c r="E186">
        <v>390</v>
      </c>
      <c r="F186">
        <v>71.191000000000003</v>
      </c>
      <c r="G186">
        <v>989188888.88888884</v>
      </c>
      <c r="H186">
        <v>102.334</v>
      </c>
      <c r="I186">
        <v>9693.5586783302515</v>
      </c>
    </row>
    <row r="187" spans="1:9" x14ac:dyDescent="0.25">
      <c r="A187" s="4" t="s">
        <v>425</v>
      </c>
      <c r="B187" s="5" t="s">
        <v>425</v>
      </c>
      <c r="C187" t="str">
        <f>_xlfn.XLOOKUP(B187,'regions'!A:A,'regions'!F:F)</f>
        <v>Africa</v>
      </c>
      <c r="D187">
        <v>49383346</v>
      </c>
      <c r="E187">
        <v>1878000</v>
      </c>
      <c r="F187">
        <v>65.694999999999993</v>
      </c>
      <c r="G187">
        <v>51666875363.096298</v>
      </c>
      <c r="H187">
        <v>70.208399999999997</v>
      </c>
      <c r="I187">
        <v>1046.24084472656</v>
      </c>
    </row>
    <row r="188" spans="1:9" x14ac:dyDescent="0.25">
      <c r="A188" s="2" t="s">
        <v>427</v>
      </c>
      <c r="B188" s="3" t="s">
        <v>427</v>
      </c>
      <c r="C188" t="str">
        <f>_xlfn.XLOOKUP(B188,'regions'!A:A,'regions'!F:F)</f>
        <v>Americas</v>
      </c>
      <c r="D188">
        <v>623164</v>
      </c>
      <c r="E188">
        <v>163820</v>
      </c>
      <c r="F188">
        <v>73.254000000000005</v>
      </c>
      <c r="G188">
        <v>3791603200.0259018</v>
      </c>
      <c r="H188">
        <v>149.05199999999999</v>
      </c>
      <c r="I188">
        <v>6084.4387673644524</v>
      </c>
    </row>
    <row r="189" spans="1:9" x14ac:dyDescent="0.25">
      <c r="A189" s="4" t="s">
        <v>429</v>
      </c>
      <c r="B189" s="5" t="s">
        <v>429</v>
      </c>
      <c r="C189" t="str">
        <f>_xlfn.XLOOKUP(B189,'regions'!A:A,'regions'!F:F)</f>
        <v>Europe</v>
      </c>
      <c r="D189">
        <v>10486941</v>
      </c>
      <c r="E189">
        <v>528860</v>
      </c>
      <c r="F189">
        <v>83.058536585365871</v>
      </c>
      <c r="G189">
        <v>575071237640.92139</v>
      </c>
      <c r="H189">
        <v>140.78200000000001</v>
      </c>
      <c r="I189">
        <v>54836.890723512355</v>
      </c>
    </row>
    <row r="190" spans="1:9" x14ac:dyDescent="0.25">
      <c r="A190" s="2" t="s">
        <v>431</v>
      </c>
      <c r="B190" s="3" t="s">
        <v>431</v>
      </c>
      <c r="C190" t="str">
        <f>_xlfn.XLOOKUP(B190,'regions'!A:A,'regions'!F:F)</f>
        <v>Europe</v>
      </c>
      <c r="D190">
        <v>8777088</v>
      </c>
      <c r="E190">
        <v>41290.699999999997</v>
      </c>
      <c r="F190">
        <v>83.604878048780492</v>
      </c>
      <c r="G190">
        <v>828508926958.39331</v>
      </c>
      <c r="H190">
        <v>123.971</v>
      </c>
      <c r="I190">
        <v>94394.510680352454</v>
      </c>
    </row>
    <row r="191" spans="1:9" x14ac:dyDescent="0.25">
      <c r="A191" s="4" t="s">
        <v>433</v>
      </c>
      <c r="B191" s="5" t="s">
        <v>433</v>
      </c>
      <c r="C191" t="str">
        <f>_xlfn.XLOOKUP(B191,'regions'!A:A,'regions'!F:F)</f>
        <v>Asia</v>
      </c>
      <c r="D191">
        <v>22462173</v>
      </c>
      <c r="E191">
        <v>185180</v>
      </c>
      <c r="F191">
        <v>72.790000000000006</v>
      </c>
      <c r="G191">
        <v>23622827079.50465</v>
      </c>
      <c r="H191">
        <v>78.656800000000004</v>
      </c>
      <c r="I191">
        <v>1051.6714958746265</v>
      </c>
    </row>
    <row r="192" spans="1:9" x14ac:dyDescent="0.25">
      <c r="A192" s="2" t="s">
        <v>435</v>
      </c>
      <c r="B192" s="3" t="s">
        <v>435</v>
      </c>
      <c r="C192" t="str">
        <f>_xlfn.XLOOKUP(B192,'regions'!A:A,'regions'!F:F)</f>
        <v>Asia</v>
      </c>
      <c r="D192">
        <v>10182222</v>
      </c>
      <c r="E192">
        <v>141379</v>
      </c>
      <c r="F192">
        <v>71.561999999999998</v>
      </c>
      <c r="G192">
        <v>10713525200.39978</v>
      </c>
      <c r="H192">
        <v>126.161</v>
      </c>
      <c r="I192">
        <v>1052.1794948489417</v>
      </c>
    </row>
    <row r="193" spans="1:9" x14ac:dyDescent="0.25">
      <c r="A193" s="4" t="s">
        <v>437</v>
      </c>
      <c r="B193" s="5" t="s">
        <v>512</v>
      </c>
      <c r="C193" t="str">
        <f>_xlfn.XLOOKUP(B193,'regions'!A:A,'regions'!F:F)</f>
        <v>Africa</v>
      </c>
      <c r="D193">
        <v>64711821</v>
      </c>
      <c r="E193">
        <v>947300</v>
      </c>
      <c r="F193">
        <v>66.879000000000005</v>
      </c>
      <c r="G193">
        <v>75749121842.914871</v>
      </c>
      <c r="H193">
        <v>93.016000000000005</v>
      </c>
      <c r="I193">
        <v>1207.52062988281</v>
      </c>
    </row>
    <row r="194" spans="1:9" x14ac:dyDescent="0.25">
      <c r="A194" s="2" t="s">
        <v>439</v>
      </c>
      <c r="B194" s="3" t="s">
        <v>439</v>
      </c>
      <c r="C194" t="str">
        <f>_xlfn.XLOOKUP(B194,'regions'!A:A,'regions'!F:F)</f>
        <v>Asia</v>
      </c>
      <c r="D194">
        <v>71735329</v>
      </c>
      <c r="E194">
        <v>513115.02100000001</v>
      </c>
      <c r="F194">
        <v>75.290999999999997</v>
      </c>
      <c r="G194">
        <v>495644697587.66052</v>
      </c>
      <c r="H194">
        <v>176.22300000000001</v>
      </c>
      <c r="I194">
        <v>6909.3528181582678</v>
      </c>
    </row>
    <row r="195" spans="1:9" x14ac:dyDescent="0.25">
      <c r="A195" s="4" t="s">
        <v>441</v>
      </c>
      <c r="B195" s="5" t="s">
        <v>441</v>
      </c>
      <c r="C195" t="str">
        <f>_xlfn.XLOOKUP(B195,'regions'!A:A,'regions'!F:F)</f>
        <v>Asia</v>
      </c>
      <c r="D195">
        <v>1369295</v>
      </c>
      <c r="E195">
        <v>14870</v>
      </c>
      <c r="F195">
        <v>67.367999999999995</v>
      </c>
      <c r="G195">
        <v>3208599889.0096498</v>
      </c>
      <c r="H195">
        <v>108.158</v>
      </c>
      <c r="I195">
        <v>2343.2495474018747</v>
      </c>
    </row>
    <row r="196" spans="1:9" x14ac:dyDescent="0.25">
      <c r="A196" s="2" t="s">
        <v>443</v>
      </c>
      <c r="B196" s="3" t="s">
        <v>443</v>
      </c>
      <c r="C196" t="str">
        <f>_xlfn.XLOOKUP(B196,'regions'!A:A,'regions'!F:F)</f>
        <v>Africa</v>
      </c>
      <c r="D196">
        <v>9089738</v>
      </c>
      <c r="E196">
        <v>56790</v>
      </c>
      <c r="F196">
        <v>62.29</v>
      </c>
      <c r="G196">
        <v>8646453099.4123974</v>
      </c>
      <c r="H196">
        <v>72.214799999999997</v>
      </c>
      <c r="I196">
        <v>951.23237869038655</v>
      </c>
    </row>
    <row r="197" spans="1:9" x14ac:dyDescent="0.25">
      <c r="A197" s="4" t="s">
        <v>445</v>
      </c>
      <c r="B197" s="5" t="s">
        <v>445</v>
      </c>
      <c r="C197" t="str">
        <f>_xlfn.XLOOKUP(B197,'regions'!A:A,'regions'!F:F)</f>
        <v>Oceania</v>
      </c>
      <c r="D197">
        <v>105042</v>
      </c>
      <c r="E197">
        <v>750</v>
      </c>
      <c r="F197">
        <v>72.635000000000005</v>
      </c>
      <c r="G197">
        <v>556514555.40088236</v>
      </c>
      <c r="H197">
        <v>61.7258</v>
      </c>
      <c r="I197">
        <v>5298.0194150995067</v>
      </c>
    </row>
    <row r="198" spans="1:9" x14ac:dyDescent="0.25">
      <c r="A198" s="2" t="s">
        <v>447</v>
      </c>
      <c r="B198" s="3" t="s">
        <v>447</v>
      </c>
      <c r="C198" t="str">
        <f>_xlfn.XLOOKUP(B198,'regions'!A:A,'regions'!F:F)</f>
        <v>Americas</v>
      </c>
      <c r="D198">
        <v>1365805</v>
      </c>
      <c r="E198">
        <v>5130</v>
      </c>
      <c r="F198">
        <v>73.331000000000003</v>
      </c>
      <c r="G198">
        <v>28341164301.126022</v>
      </c>
      <c r="H198">
        <v>133.63200000000001</v>
      </c>
      <c r="I198">
        <v>20750.520243465224</v>
      </c>
    </row>
    <row r="199" spans="1:9" x14ac:dyDescent="0.25">
      <c r="A199" s="4" t="s">
        <v>449</v>
      </c>
      <c r="B199" s="5" t="s">
        <v>449</v>
      </c>
      <c r="C199" t="str">
        <f>_xlfn.XLOOKUP(B199,'regions'!A:A,'regions'!F:F)</f>
        <v>Africa</v>
      </c>
      <c r="D199">
        <v>12119334</v>
      </c>
      <c r="E199">
        <v>163610</v>
      </c>
      <c r="F199">
        <v>76.05</v>
      </c>
      <c r="G199">
        <v>44929920092.795464</v>
      </c>
      <c r="H199">
        <v>131.875</v>
      </c>
      <c r="I199">
        <v>3707.2928341438123</v>
      </c>
    </row>
    <row r="200" spans="1:9" x14ac:dyDescent="0.25">
      <c r="A200" s="2" t="s">
        <v>451</v>
      </c>
      <c r="B200" s="3" t="s">
        <v>513</v>
      </c>
      <c r="C200" t="str">
        <f>_xlfn.XLOOKUP(B200,'regions'!A:A,'regions'!F:F)</f>
        <v>Asia</v>
      </c>
      <c r="D200">
        <v>84979913</v>
      </c>
      <c r="E200">
        <v>785350</v>
      </c>
      <c r="F200">
        <v>77.590999999999994</v>
      </c>
      <c r="G200">
        <v>926097476913.8175</v>
      </c>
      <c r="H200">
        <v>103.721</v>
      </c>
      <c r="I200">
        <v>10897.83978613649</v>
      </c>
    </row>
    <row r="201" spans="1:9" x14ac:dyDescent="0.25">
      <c r="A201" s="4" t="s">
        <v>453</v>
      </c>
      <c r="B201" s="5" t="s">
        <v>453</v>
      </c>
      <c r="C201" t="str">
        <f>_xlfn.XLOOKUP(B201,'regions'!A:A,'regions'!F:F)</f>
        <v>Asia</v>
      </c>
      <c r="D201">
        <v>7230193</v>
      </c>
      <c r="E201">
        <v>491209</v>
      </c>
      <c r="F201">
        <v>69.912999999999997</v>
      </c>
      <c r="G201">
        <v>42208726137.719208</v>
      </c>
      <c r="I201">
        <v>5837.8422453894673</v>
      </c>
    </row>
    <row r="202" spans="1:9" x14ac:dyDescent="0.25">
      <c r="A202" s="2" t="s">
        <v>455</v>
      </c>
      <c r="B202" s="3" t="s">
        <v>455</v>
      </c>
      <c r="C202" t="str">
        <f>_xlfn.XLOOKUP(B202,'regions'!A:A,'regions'!F:F)</f>
        <v>Americas</v>
      </c>
      <c r="D202">
        <v>45847</v>
      </c>
      <c r="E202">
        <v>950</v>
      </c>
      <c r="F202">
        <v>77.918000000000006</v>
      </c>
      <c r="G202">
        <v>1434119000</v>
      </c>
      <c r="I202">
        <v>31280.541802080836</v>
      </c>
    </row>
    <row r="203" spans="1:9" x14ac:dyDescent="0.25">
      <c r="A203" s="4" t="s">
        <v>457</v>
      </c>
      <c r="B203" s="5" t="s">
        <v>457</v>
      </c>
      <c r="C203" t="str">
        <f>_xlfn.XLOOKUP(B203,'regions'!A:A,'regions'!F:F)</f>
        <v>Oceania</v>
      </c>
      <c r="D203">
        <v>9992</v>
      </c>
      <c r="E203">
        <v>30</v>
      </c>
      <c r="F203">
        <v>66.852000000000004</v>
      </c>
      <c r="G203">
        <v>59065982.087365709</v>
      </c>
      <c r="H203">
        <v>98.859099999999998</v>
      </c>
      <c r="I203">
        <v>5911.3272705530135</v>
      </c>
    </row>
    <row r="204" spans="1:9" x14ac:dyDescent="0.25">
      <c r="A204" s="2" t="s">
        <v>459</v>
      </c>
      <c r="B204" s="3" t="s">
        <v>459</v>
      </c>
      <c r="C204" t="str">
        <f>_xlfn.XLOOKUP(B204,'regions'!A:A,'regions'!F:F)</f>
        <v>Africa</v>
      </c>
      <c r="D204">
        <v>47312719</v>
      </c>
      <c r="E204">
        <v>241550</v>
      </c>
      <c r="F204">
        <v>67.674999999999997</v>
      </c>
      <c r="G204">
        <v>45565333210.910789</v>
      </c>
      <c r="H204">
        <v>70.140100000000004</v>
      </c>
      <c r="I204">
        <v>963.06731411717828</v>
      </c>
    </row>
    <row r="205" spans="1:9" x14ac:dyDescent="0.25">
      <c r="A205" s="4" t="s">
        <v>461</v>
      </c>
      <c r="B205" s="5" t="s">
        <v>461</v>
      </c>
      <c r="C205" t="str">
        <f>_xlfn.XLOOKUP(B205,'regions'!A:A,'regions'!F:F)</f>
        <v>Europe</v>
      </c>
      <c r="D205">
        <v>41048766</v>
      </c>
      <c r="E205">
        <v>603550</v>
      </c>
      <c r="F205">
        <v>72.658000000000001</v>
      </c>
      <c r="G205">
        <v>161989520721.19049</v>
      </c>
      <c r="H205">
        <v>120.261</v>
      </c>
      <c r="I205">
        <v>4199.6708984375</v>
      </c>
    </row>
    <row r="206" spans="1:9" x14ac:dyDescent="0.25">
      <c r="A206" s="2" t="s">
        <v>463</v>
      </c>
      <c r="B206" s="3" t="s">
        <v>463</v>
      </c>
      <c r="C206" t="str">
        <f>_xlfn.XLOOKUP(B206,'regions'!A:A,'regions'!F:F)</f>
        <v>Asia</v>
      </c>
      <c r="D206">
        <v>10074977</v>
      </c>
      <c r="E206">
        <v>98647.9</v>
      </c>
      <c r="F206">
        <v>80.486999999999995</v>
      </c>
      <c r="G206">
        <v>511403403675.97009</v>
      </c>
      <c r="H206">
        <v>195.625</v>
      </c>
      <c r="I206">
        <v>50759.758923119138</v>
      </c>
    </row>
    <row r="207" spans="1:9" x14ac:dyDescent="0.25">
      <c r="A207" s="4" t="s">
        <v>465</v>
      </c>
      <c r="B207" s="5" t="s">
        <v>514</v>
      </c>
      <c r="C207" t="str">
        <f>_xlfn.XLOOKUP(B207,'regions'!A:A,'regions'!F:F)</f>
        <v>Europe</v>
      </c>
      <c r="D207">
        <v>67604000</v>
      </c>
      <c r="E207">
        <v>243610</v>
      </c>
      <c r="F207">
        <v>81.011219512195112</v>
      </c>
      <c r="G207">
        <v>3181244350465.4146</v>
      </c>
      <c r="H207">
        <v>119.834</v>
      </c>
      <c r="I207">
        <v>47057.043229178962</v>
      </c>
    </row>
    <row r="208" spans="1:9" x14ac:dyDescent="0.25">
      <c r="A208" s="2" t="s">
        <v>467</v>
      </c>
      <c r="B208" s="3" t="s">
        <v>515</v>
      </c>
      <c r="C208" t="str">
        <f>_xlfn.XLOOKUP(B208,'regions'!A:A,'regions'!F:F)</f>
        <v>Americas</v>
      </c>
      <c r="D208">
        <v>334017321</v>
      </c>
      <c r="E208">
        <v>9831510</v>
      </c>
      <c r="F208">
        <v>77.434146341463432</v>
      </c>
      <c r="G208">
        <v>25604848907611</v>
      </c>
      <c r="H208">
        <v>108.786</v>
      </c>
      <c r="I208">
        <v>76657.248884440341</v>
      </c>
    </row>
    <row r="209" spans="1:9" x14ac:dyDescent="0.25">
      <c r="A209" s="4" t="s">
        <v>469</v>
      </c>
      <c r="B209" s="5" t="s">
        <v>469</v>
      </c>
      <c r="C209" t="str">
        <f>_xlfn.XLOOKUP(B209,'regions'!A:A,'regions'!F:F)</f>
        <v>Americas</v>
      </c>
      <c r="D209">
        <v>3390913</v>
      </c>
      <c r="E209">
        <v>176220</v>
      </c>
      <c r="F209">
        <v>76.468000000000004</v>
      </c>
      <c r="G209">
        <v>70594110920.035782</v>
      </c>
      <c r="H209">
        <v>139.82900000000001</v>
      </c>
      <c r="I209">
        <v>20818.614609114353</v>
      </c>
    </row>
    <row r="210" spans="1:9" x14ac:dyDescent="0.25">
      <c r="A210" s="2" t="s">
        <v>471</v>
      </c>
      <c r="B210" s="3" t="s">
        <v>471</v>
      </c>
      <c r="C210" t="str">
        <f>_xlfn.XLOOKUP(B210,'regions'!A:A,'regions'!F:F)</f>
        <v>Asia</v>
      </c>
      <c r="D210">
        <v>34938955</v>
      </c>
      <c r="E210">
        <v>448924</v>
      </c>
      <c r="F210">
        <v>72.147000000000006</v>
      </c>
      <c r="G210">
        <v>90095926567.435898</v>
      </c>
      <c r="H210">
        <v>105.47199999999999</v>
      </c>
      <c r="I210">
        <v>2578.6668939421884</v>
      </c>
    </row>
    <row r="211" spans="1:9" x14ac:dyDescent="0.25">
      <c r="A211" s="4" t="s">
        <v>473</v>
      </c>
      <c r="B211" s="5" t="s">
        <v>473</v>
      </c>
      <c r="C211" t="str">
        <f>_xlfn.XLOOKUP(B211,'regions'!A:A,'regions'!F:F)</f>
        <v>Oceania</v>
      </c>
      <c r="D211">
        <v>313046</v>
      </c>
      <c r="E211">
        <v>12190</v>
      </c>
      <c r="F211">
        <v>71.302000000000007</v>
      </c>
      <c r="G211">
        <v>1055031360.5735643</v>
      </c>
      <c r="H211">
        <v>81.6203</v>
      </c>
      <c r="I211">
        <v>3370.2119195695336</v>
      </c>
    </row>
    <row r="212" spans="1:9" x14ac:dyDescent="0.25">
      <c r="A212" s="2" t="s">
        <v>475</v>
      </c>
      <c r="B212" s="3" t="s">
        <v>516</v>
      </c>
      <c r="C212" t="str">
        <f>_xlfn.XLOOKUP(B212,'regions'!A:A,'regions'!F:F)</f>
        <v>Americas</v>
      </c>
      <c r="D212">
        <v>28213017</v>
      </c>
      <c r="E212">
        <v>912050</v>
      </c>
      <c r="F212">
        <v>72.566000000000003</v>
      </c>
      <c r="G212">
        <v>89013255584.749924</v>
      </c>
      <c r="H212">
        <v>66.466800000000006</v>
      </c>
      <c r="I212">
        <v>3155.0420709968707</v>
      </c>
    </row>
    <row r="213" spans="1:9" x14ac:dyDescent="0.25">
      <c r="A213" s="4" t="s">
        <v>477</v>
      </c>
      <c r="B213" s="5" t="s">
        <v>477</v>
      </c>
      <c r="C213" t="str">
        <f>_xlfn.XLOOKUP(B213,'regions'!A:A,'regions'!F:F)</f>
        <v>Asia</v>
      </c>
      <c r="D213">
        <v>99680655</v>
      </c>
      <c r="E213">
        <v>331340</v>
      </c>
      <c r="F213">
        <v>74.501999999999995</v>
      </c>
      <c r="G213">
        <v>413445230668.57819</v>
      </c>
      <c r="H213">
        <v>137.852</v>
      </c>
      <c r="I213">
        <v>4147.69777213621</v>
      </c>
    </row>
    <row r="214" spans="1:9" x14ac:dyDescent="0.25">
      <c r="A214" s="2" t="s">
        <v>479</v>
      </c>
      <c r="B214" s="3" t="s">
        <v>479</v>
      </c>
      <c r="C214" t="str">
        <f>_xlfn.XLOOKUP(B214,'regions'!A:A,'regions'!F:F)</f>
        <v>Americas</v>
      </c>
      <c r="D214">
        <v>105413</v>
      </c>
      <c r="E214">
        <v>350</v>
      </c>
      <c r="F214">
        <v>80.319512195121959</v>
      </c>
      <c r="G214">
        <v>4672000000</v>
      </c>
      <c r="H214">
        <v>91.462000000000003</v>
      </c>
      <c r="I214">
        <v>44320.90918577405</v>
      </c>
    </row>
    <row r="215" spans="1:9" x14ac:dyDescent="0.25">
      <c r="A215" s="4" t="s">
        <v>481</v>
      </c>
      <c r="B215" s="5" t="s">
        <v>517</v>
      </c>
      <c r="C215" t="str">
        <f>_xlfn.XLOOKUP(B215,'regions'!A:A,'regions'!F:F)</f>
        <v>Americas</v>
      </c>
      <c r="D215">
        <v>5043612</v>
      </c>
      <c r="E215">
        <v>6025</v>
      </c>
      <c r="F215">
        <v>76.662000000000006</v>
      </c>
      <c r="G215">
        <v>19165500000</v>
      </c>
      <c r="H215">
        <v>76.566599999999994</v>
      </c>
      <c r="I215">
        <v>3799.9552701516295</v>
      </c>
    </row>
    <row r="216" spans="1:9" x14ac:dyDescent="0.25">
      <c r="A216" s="2" t="s">
        <v>483</v>
      </c>
      <c r="B216" s="3" t="s">
        <v>518</v>
      </c>
      <c r="C216" t="str">
        <f>_xlfn.XLOOKUP(B216,'regions'!A:A,'regions'!F:F)</f>
        <v>Asia</v>
      </c>
      <c r="D216">
        <v>38222876</v>
      </c>
      <c r="E216">
        <v>527970</v>
      </c>
      <c r="F216">
        <v>67.951999999999998</v>
      </c>
      <c r="H216">
        <v>46.453400000000002</v>
      </c>
    </row>
    <row r="217" spans="1:9" x14ac:dyDescent="0.25">
      <c r="A217" s="4" t="s">
        <v>485</v>
      </c>
      <c r="B217" s="5" t="s">
        <v>485</v>
      </c>
      <c r="C217" t="str">
        <f>_xlfn.XLOOKUP(B217,'regions'!A:A,'regions'!F:F)</f>
        <v>Africa</v>
      </c>
      <c r="D217">
        <v>20152938</v>
      </c>
      <c r="E217">
        <v>752610</v>
      </c>
      <c r="F217">
        <v>65.278999999999996</v>
      </c>
      <c r="G217">
        <v>29163782140.485832</v>
      </c>
      <c r="H217">
        <v>98.437299999999993</v>
      </c>
      <c r="I217">
        <v>1447.1231013803463</v>
      </c>
    </row>
    <row r="218" spans="1:9" x14ac:dyDescent="0.25">
      <c r="A218" s="2" t="s">
        <v>487</v>
      </c>
      <c r="B218" s="3" t="s">
        <v>487</v>
      </c>
      <c r="C218" t="str">
        <f>_xlfn.XLOOKUP(B218,'regions'!A:A,'regions'!F:F)</f>
        <v>Africa</v>
      </c>
      <c r="D218">
        <v>16069056</v>
      </c>
      <c r="E218">
        <v>390760</v>
      </c>
      <c r="F218">
        <v>62.36</v>
      </c>
      <c r="G218">
        <v>40757561708.774139</v>
      </c>
      <c r="H218">
        <v>88.995800000000003</v>
      </c>
      <c r="I218">
        <v>2536.4005022307556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2BBC07-C88B-4400-AFE1-A642DCB228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Indicators_2022</vt:lpstr>
      <vt:lpstr>regions</vt:lpstr>
      <vt:lpstr>matches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Benedetto</cp:lastModifiedBy>
  <dcterms:created xsi:type="dcterms:W3CDTF">2015-06-05T18:17:20Z</dcterms:created>
  <dcterms:modified xsi:type="dcterms:W3CDTF">2026-01-22T21:34:17Z</dcterms:modified>
</cp:coreProperties>
</file>